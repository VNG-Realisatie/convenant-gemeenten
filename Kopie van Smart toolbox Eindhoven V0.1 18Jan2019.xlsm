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51196F13-6AD0-C1B8-E2B4-A1F9AE17003E}"/>
  <workbookPr updateLinks="never" codeName="ThisWorkbook" defaultThemeVersion="124226"/>
  <bookViews>
    <workbookView xWindow="0" yWindow="75" windowWidth="19440" windowHeight="10080"/>
  </bookViews>
  <sheets>
    <sheet name="smart toolbox onderdelen" sheetId="3" r:id="rId1"/>
    <sheet name="Beschrijving onderdelen" sheetId="6" r:id="rId2"/>
    <sheet name="roadmap draaitabel" sheetId="9" r:id="rId3"/>
    <sheet name="toelichting ACPaaS" sheetId="5" r:id="rId4"/>
    <sheet name="termen" sheetId="11" r:id="rId5"/>
    <sheet name="Lijsten" sheetId="7" r:id="rId6"/>
  </sheets>
  <externalReferences>
    <externalReference r:id="rId7"/>
  </externalReferences>
  <definedNames>
    <definedName name="_xlnm._FilterDatabase" localSheetId="1" hidden="1">'Beschrijving onderdelen'!$A$1:$AG$132</definedName>
    <definedName name="_xlnm.Print_Area" localSheetId="1">'Beschrijving onderdelen'!$A$1:$K$119</definedName>
    <definedName name="_xlnm.Print_Titles" localSheetId="1">'Beschrijving onderdelen'!$1:$1</definedName>
    <definedName name="persoon">[1]lijsten!$A$1:$A$12</definedName>
    <definedName name="Soort">Lijsten!$A$1:$A$11</definedName>
    <definedName name="status">Lijsten!$E$1:$E$5</definedName>
  </definedNames>
  <calcPr calcId="162913"/>
  <pivotCaches>
    <pivotCache cacheId="0" r:id="rId8"/>
  </pivotCaches>
</workbook>
</file>

<file path=xl/calcChain.xml><?xml version="1.0" encoding="utf-8"?>
<calcChain xmlns="http://schemas.openxmlformats.org/spreadsheetml/2006/main">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2" i="9"/>
  <c r="F128" i="9"/>
  <c r="G128" i="9"/>
  <c r="H128" i="9"/>
  <c r="I128" i="9"/>
  <c r="J128" i="9"/>
  <c r="K128" i="9"/>
  <c r="L128" i="9"/>
  <c r="M128" i="9"/>
  <c r="N128" i="9"/>
  <c r="O128" i="9"/>
  <c r="P128" i="9"/>
  <c r="Q128" i="9"/>
  <c r="F129" i="9"/>
  <c r="G129" i="9"/>
  <c r="H129" i="9"/>
  <c r="I129" i="9"/>
  <c r="J129" i="9"/>
  <c r="K129" i="9"/>
  <c r="L129" i="9"/>
  <c r="M129" i="9"/>
  <c r="N129" i="9"/>
  <c r="O129" i="9"/>
  <c r="P129" i="9"/>
  <c r="Q129" i="9"/>
  <c r="F130" i="9"/>
  <c r="G130" i="9"/>
  <c r="H130" i="9"/>
  <c r="I130" i="9"/>
  <c r="J130" i="9"/>
  <c r="K130" i="9"/>
  <c r="L130" i="9"/>
  <c r="M130" i="9"/>
  <c r="N130" i="9"/>
  <c r="O130" i="9"/>
  <c r="P130" i="9"/>
  <c r="Q130" i="9"/>
  <c r="F131" i="9"/>
  <c r="G131" i="9"/>
  <c r="H131" i="9"/>
  <c r="I131" i="9"/>
  <c r="J131" i="9"/>
  <c r="K131" i="9"/>
  <c r="L131" i="9"/>
  <c r="M131" i="9"/>
  <c r="N131" i="9"/>
  <c r="O131" i="9"/>
  <c r="P131" i="9"/>
  <c r="Q131" i="9"/>
  <c r="F122" i="9"/>
  <c r="G122" i="9"/>
  <c r="H122" i="9"/>
  <c r="I122" i="9"/>
  <c r="J122" i="9"/>
  <c r="K122" i="9"/>
  <c r="L122" i="9"/>
  <c r="M122" i="9"/>
  <c r="N122" i="9"/>
  <c r="O122" i="9"/>
  <c r="P122" i="9"/>
  <c r="Q122" i="9"/>
  <c r="F123" i="9"/>
  <c r="G123" i="9"/>
  <c r="H123" i="9"/>
  <c r="I123" i="9"/>
  <c r="J123" i="9"/>
  <c r="K123" i="9"/>
  <c r="L123" i="9"/>
  <c r="M123" i="9"/>
  <c r="N123" i="9"/>
  <c r="O123" i="9"/>
  <c r="P123" i="9"/>
  <c r="Q123" i="9"/>
  <c r="F124" i="9"/>
  <c r="G124" i="9"/>
  <c r="H124" i="9"/>
  <c r="I124" i="9"/>
  <c r="J124" i="9"/>
  <c r="K124" i="9"/>
  <c r="L124" i="9"/>
  <c r="M124" i="9"/>
  <c r="N124" i="9"/>
  <c r="O124" i="9"/>
  <c r="P124" i="9"/>
  <c r="Q124" i="9"/>
  <c r="F125" i="9"/>
  <c r="G125" i="9"/>
  <c r="H125" i="9"/>
  <c r="I125" i="9"/>
  <c r="J125" i="9"/>
  <c r="K125" i="9"/>
  <c r="L125" i="9"/>
  <c r="M125" i="9"/>
  <c r="N125" i="9"/>
  <c r="O125" i="9"/>
  <c r="P125" i="9"/>
  <c r="Q125" i="9"/>
  <c r="F126" i="9"/>
  <c r="G126" i="9"/>
  <c r="H126" i="9"/>
  <c r="I126" i="9"/>
  <c r="J126" i="9"/>
  <c r="K126" i="9"/>
  <c r="L126" i="9"/>
  <c r="M126" i="9"/>
  <c r="N126" i="9"/>
  <c r="O126" i="9"/>
  <c r="P126" i="9"/>
  <c r="Q126" i="9"/>
  <c r="F127" i="9"/>
  <c r="G127" i="9"/>
  <c r="H127" i="9"/>
  <c r="I127" i="9"/>
  <c r="J127" i="9"/>
  <c r="K127" i="9"/>
  <c r="L127" i="9"/>
  <c r="M127" i="9"/>
  <c r="N127" i="9"/>
  <c r="O127" i="9"/>
  <c r="P127" i="9"/>
  <c r="Q127" i="9"/>
  <c r="F13" i="9"/>
  <c r="D132" i="6" l="1"/>
  <c r="E132" i="6"/>
  <c r="D131" i="6"/>
  <c r="E131" i="6"/>
  <c r="D130" i="6"/>
  <c r="E130" i="6"/>
  <c r="D129" i="6"/>
  <c r="E129" i="6"/>
  <c r="E116" i="6"/>
  <c r="E115" i="6"/>
  <c r="D116" i="6"/>
  <c r="D128" i="6"/>
  <c r="E128" i="6"/>
  <c r="E127" i="6" l="1"/>
  <c r="D124" i="6"/>
  <c r="D125" i="6"/>
  <c r="D126" i="6"/>
  <c r="D127" i="6"/>
  <c r="E73" i="6"/>
  <c r="D73"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7" i="6"/>
  <c r="E118" i="6"/>
  <c r="E119" i="6"/>
  <c r="E120" i="6"/>
  <c r="E121" i="6"/>
  <c r="E122" i="6"/>
  <c r="E123" i="6"/>
  <c r="E124" i="6"/>
  <c r="E125" i="6"/>
  <c r="E126" i="6"/>
  <c r="E2" i="6"/>
  <c r="D65" i="6" l="1"/>
  <c r="D66" i="6"/>
  <c r="F3" i="9" l="1"/>
  <c r="Q121" i="9"/>
  <c r="Q120" i="9"/>
  <c r="Q119" i="9"/>
  <c r="Q118" i="9"/>
  <c r="Q117" i="9"/>
  <c r="Q116" i="9"/>
  <c r="Q115" i="9"/>
  <c r="Q114" i="9"/>
  <c r="Q113" i="9"/>
  <c r="Q112" i="9"/>
  <c r="Q111" i="9"/>
  <c r="Q110" i="9"/>
  <c r="Q109" i="9"/>
  <c r="Q108" i="9"/>
  <c r="Q107" i="9"/>
  <c r="Q106" i="9"/>
  <c r="Q105" i="9"/>
  <c r="Q104" i="9"/>
  <c r="Q103" i="9"/>
  <c r="Q102" i="9"/>
  <c r="Q101" i="9"/>
  <c r="Q100" i="9"/>
  <c r="Q99" i="9"/>
  <c r="Q98" i="9"/>
  <c r="Q97" i="9"/>
  <c r="Q96" i="9"/>
  <c r="Q95" i="9"/>
  <c r="Q94" i="9"/>
  <c r="Q93" i="9"/>
  <c r="Q92" i="9"/>
  <c r="Q91" i="9"/>
  <c r="Q90" i="9"/>
  <c r="Q89" i="9"/>
  <c r="Q88" i="9"/>
  <c r="Q87" i="9"/>
  <c r="Q86" i="9"/>
  <c r="Q85" i="9"/>
  <c r="Q84" i="9"/>
  <c r="Q83" i="9"/>
  <c r="Q82" i="9"/>
  <c r="Q81" i="9"/>
  <c r="Q80" i="9"/>
  <c r="Q79" i="9"/>
  <c r="Q78" i="9"/>
  <c r="Q77" i="9"/>
  <c r="Q76" i="9"/>
  <c r="Q75" i="9"/>
  <c r="Q74" i="9"/>
  <c r="Q73" i="9"/>
  <c r="Q72" i="9"/>
  <c r="Q71" i="9"/>
  <c r="Q70" i="9"/>
  <c r="Q69" i="9"/>
  <c r="Q68" i="9"/>
  <c r="Q67" i="9"/>
  <c r="Q66" i="9"/>
  <c r="Q65" i="9"/>
  <c r="Q64" i="9"/>
  <c r="Q63" i="9"/>
  <c r="Q62" i="9"/>
  <c r="Q61" i="9"/>
  <c r="Q60" i="9"/>
  <c r="Q59" i="9"/>
  <c r="Q58" i="9"/>
  <c r="Q57" i="9"/>
  <c r="Q56" i="9"/>
  <c r="Q55" i="9"/>
  <c r="Q54" i="9"/>
  <c r="Q53" i="9"/>
  <c r="Q52" i="9"/>
  <c r="Q51" i="9"/>
  <c r="Q50" i="9"/>
  <c r="Q49" i="9"/>
  <c r="Q48" i="9"/>
  <c r="Q47" i="9"/>
  <c r="Q46" i="9"/>
  <c r="Q45" i="9"/>
  <c r="Q44" i="9"/>
  <c r="Q43" i="9"/>
  <c r="Q42" i="9"/>
  <c r="Q41" i="9"/>
  <c r="Q40" i="9"/>
  <c r="Q39" i="9"/>
  <c r="Q38" i="9"/>
  <c r="Q37" i="9"/>
  <c r="Q36" i="9"/>
  <c r="Q35" i="9"/>
  <c r="Q34" i="9"/>
  <c r="Q33" i="9"/>
  <c r="Q32" i="9"/>
  <c r="Q31" i="9"/>
  <c r="Q30" i="9"/>
  <c r="Q29" i="9"/>
  <c r="Q28" i="9"/>
  <c r="Q27" i="9"/>
  <c r="Q26" i="9"/>
  <c r="Q25" i="9"/>
  <c r="Q24" i="9"/>
  <c r="Q23" i="9"/>
  <c r="Q22" i="9"/>
  <c r="Q21" i="9"/>
  <c r="Q20" i="9"/>
  <c r="Q19" i="9"/>
  <c r="Q18" i="9"/>
  <c r="Q17" i="9"/>
  <c r="Q16" i="9"/>
  <c r="Q15" i="9"/>
  <c r="Q14" i="9"/>
  <c r="Q13" i="9"/>
  <c r="Q12" i="9"/>
  <c r="Q11" i="9"/>
  <c r="Q10" i="9"/>
  <c r="Q9" i="9"/>
  <c r="Q8" i="9"/>
  <c r="Q7" i="9"/>
  <c r="Q6" i="9"/>
  <c r="Q5" i="9"/>
  <c r="Q4" i="9"/>
  <c r="Q3" i="9"/>
  <c r="Q2" i="9"/>
  <c r="P121" i="9"/>
  <c r="P120" i="9"/>
  <c r="P119" i="9"/>
  <c r="P118" i="9"/>
  <c r="P117" i="9"/>
  <c r="P116" i="9"/>
  <c r="P115" i="9"/>
  <c r="P114" i="9"/>
  <c r="P113" i="9"/>
  <c r="P112" i="9"/>
  <c r="P111" i="9"/>
  <c r="P110" i="9"/>
  <c r="P109" i="9"/>
  <c r="P108" i="9"/>
  <c r="P107" i="9"/>
  <c r="P106" i="9"/>
  <c r="P105" i="9"/>
  <c r="P104" i="9"/>
  <c r="P103" i="9"/>
  <c r="P102" i="9"/>
  <c r="P101" i="9"/>
  <c r="P100" i="9"/>
  <c r="P99" i="9"/>
  <c r="P98" i="9"/>
  <c r="P97" i="9"/>
  <c r="P96" i="9"/>
  <c r="P95" i="9"/>
  <c r="P94" i="9"/>
  <c r="P93" i="9"/>
  <c r="P92" i="9"/>
  <c r="P91" i="9"/>
  <c r="P90" i="9"/>
  <c r="P89" i="9"/>
  <c r="P88" i="9"/>
  <c r="P87" i="9"/>
  <c r="P86" i="9"/>
  <c r="P85" i="9"/>
  <c r="P84" i="9"/>
  <c r="P83" i="9"/>
  <c r="P82" i="9"/>
  <c r="P81" i="9"/>
  <c r="P80" i="9"/>
  <c r="P79" i="9"/>
  <c r="P78" i="9"/>
  <c r="P77" i="9"/>
  <c r="P76" i="9"/>
  <c r="P75" i="9"/>
  <c r="P74" i="9"/>
  <c r="P73" i="9"/>
  <c r="P72" i="9"/>
  <c r="P71" i="9"/>
  <c r="P70" i="9"/>
  <c r="P69" i="9"/>
  <c r="P68" i="9"/>
  <c r="P67" i="9"/>
  <c r="P66" i="9"/>
  <c r="P65" i="9"/>
  <c r="P64" i="9"/>
  <c r="P63" i="9"/>
  <c r="P62" i="9"/>
  <c r="P61" i="9"/>
  <c r="P60" i="9"/>
  <c r="P59" i="9"/>
  <c r="P58" i="9"/>
  <c r="P57" i="9"/>
  <c r="P56" i="9"/>
  <c r="P55" i="9"/>
  <c r="P54" i="9"/>
  <c r="P53" i="9"/>
  <c r="P52" i="9"/>
  <c r="P51" i="9"/>
  <c r="P50" i="9"/>
  <c r="P49" i="9"/>
  <c r="P48" i="9"/>
  <c r="P47" i="9"/>
  <c r="P46" i="9"/>
  <c r="P45" i="9"/>
  <c r="P44" i="9"/>
  <c r="P43" i="9"/>
  <c r="P42" i="9"/>
  <c r="P41" i="9"/>
  <c r="P40" i="9"/>
  <c r="P39" i="9"/>
  <c r="P38" i="9"/>
  <c r="P37" i="9"/>
  <c r="P36" i="9"/>
  <c r="P35" i="9"/>
  <c r="P34" i="9"/>
  <c r="P33" i="9"/>
  <c r="P32" i="9"/>
  <c r="P31" i="9"/>
  <c r="P30" i="9"/>
  <c r="P29" i="9"/>
  <c r="P28" i="9"/>
  <c r="P27" i="9"/>
  <c r="P26" i="9"/>
  <c r="P25" i="9"/>
  <c r="P24" i="9"/>
  <c r="P23" i="9"/>
  <c r="P22" i="9"/>
  <c r="P21" i="9"/>
  <c r="P20" i="9"/>
  <c r="P19" i="9"/>
  <c r="P18" i="9"/>
  <c r="P17" i="9"/>
  <c r="P16" i="9"/>
  <c r="P15" i="9"/>
  <c r="P14" i="9"/>
  <c r="P13" i="9"/>
  <c r="P12" i="9"/>
  <c r="P11" i="9"/>
  <c r="P10" i="9"/>
  <c r="P9" i="9"/>
  <c r="P8" i="9"/>
  <c r="P7" i="9"/>
  <c r="P6" i="9"/>
  <c r="P5" i="9"/>
  <c r="P4" i="9"/>
  <c r="P3" i="9"/>
  <c r="P2" i="9"/>
  <c r="O121" i="9"/>
  <c r="O120" i="9"/>
  <c r="O119" i="9"/>
  <c r="O118" i="9"/>
  <c r="O117" i="9"/>
  <c r="O116" i="9"/>
  <c r="O115" i="9"/>
  <c r="O114" i="9"/>
  <c r="O113" i="9"/>
  <c r="O112" i="9"/>
  <c r="O111" i="9"/>
  <c r="O110" i="9"/>
  <c r="O109" i="9"/>
  <c r="O108" i="9"/>
  <c r="O107" i="9"/>
  <c r="O106" i="9"/>
  <c r="O105" i="9"/>
  <c r="O104" i="9"/>
  <c r="O103" i="9"/>
  <c r="O102" i="9"/>
  <c r="O101" i="9"/>
  <c r="O100" i="9"/>
  <c r="O99" i="9"/>
  <c r="O98" i="9"/>
  <c r="O97" i="9"/>
  <c r="O96" i="9"/>
  <c r="O95" i="9"/>
  <c r="O94" i="9"/>
  <c r="O93" i="9"/>
  <c r="O92" i="9"/>
  <c r="O91" i="9"/>
  <c r="O90" i="9"/>
  <c r="O89" i="9"/>
  <c r="O88" i="9"/>
  <c r="O87" i="9"/>
  <c r="O86" i="9"/>
  <c r="O85" i="9"/>
  <c r="O84" i="9"/>
  <c r="O83" i="9"/>
  <c r="O82" i="9"/>
  <c r="O81" i="9"/>
  <c r="O80" i="9"/>
  <c r="O79" i="9"/>
  <c r="O78" i="9"/>
  <c r="O77" i="9"/>
  <c r="O76" i="9"/>
  <c r="O75" i="9"/>
  <c r="O74" i="9"/>
  <c r="O73" i="9"/>
  <c r="O72" i="9"/>
  <c r="O71" i="9"/>
  <c r="O70" i="9"/>
  <c r="O69" i="9"/>
  <c r="O68" i="9"/>
  <c r="O67" i="9"/>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O33" i="9"/>
  <c r="O32" i="9"/>
  <c r="O31" i="9"/>
  <c r="O30" i="9"/>
  <c r="O29" i="9"/>
  <c r="O28" i="9"/>
  <c r="O27" i="9"/>
  <c r="O26" i="9"/>
  <c r="O25" i="9"/>
  <c r="O24" i="9"/>
  <c r="O23" i="9"/>
  <c r="O22" i="9"/>
  <c r="O21" i="9"/>
  <c r="O20" i="9"/>
  <c r="O19" i="9"/>
  <c r="O18" i="9"/>
  <c r="O17" i="9"/>
  <c r="O16" i="9"/>
  <c r="O15" i="9"/>
  <c r="O14" i="9"/>
  <c r="O13" i="9"/>
  <c r="O12" i="9"/>
  <c r="O11" i="9"/>
  <c r="O10" i="9"/>
  <c r="O9" i="9"/>
  <c r="O8" i="9"/>
  <c r="O7" i="9"/>
  <c r="O6" i="9"/>
  <c r="O5" i="9"/>
  <c r="O4" i="9"/>
  <c r="O3" i="9"/>
  <c r="O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L121" i="9"/>
  <c r="L120" i="9"/>
  <c r="L119" i="9"/>
  <c r="L118" i="9"/>
  <c r="L117" i="9"/>
  <c r="L116" i="9"/>
  <c r="L115" i="9"/>
  <c r="L114" i="9"/>
  <c r="L113" i="9"/>
  <c r="L112" i="9"/>
  <c r="L111" i="9"/>
  <c r="L110" i="9"/>
  <c r="L109" i="9"/>
  <c r="L108" i="9"/>
  <c r="L107" i="9"/>
  <c r="L106" i="9"/>
  <c r="L105" i="9"/>
  <c r="L104" i="9"/>
  <c r="L103" i="9"/>
  <c r="L102" i="9"/>
  <c r="L101" i="9"/>
  <c r="L100" i="9"/>
  <c r="L99" i="9"/>
  <c r="L98" i="9"/>
  <c r="L97" i="9"/>
  <c r="L96" i="9"/>
  <c r="L95" i="9"/>
  <c r="L94" i="9"/>
  <c r="L93" i="9"/>
  <c r="L92" i="9"/>
  <c r="L91" i="9"/>
  <c r="L90" i="9"/>
  <c r="L89" i="9"/>
  <c r="L88" i="9"/>
  <c r="L87" i="9"/>
  <c r="L86" i="9"/>
  <c r="L85" i="9"/>
  <c r="L84" i="9"/>
  <c r="L83" i="9"/>
  <c r="L82" i="9"/>
  <c r="L81" i="9"/>
  <c r="L80" i="9"/>
  <c r="L79" i="9"/>
  <c r="L78" i="9"/>
  <c r="L77" i="9"/>
  <c r="L76" i="9"/>
  <c r="L75" i="9"/>
  <c r="L74" i="9"/>
  <c r="L73" i="9"/>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L3" i="9"/>
  <c r="L2" i="9"/>
  <c r="K121" i="9"/>
  <c r="K120" i="9"/>
  <c r="K119" i="9"/>
  <c r="K118" i="9"/>
  <c r="K117" i="9"/>
  <c r="K116" i="9"/>
  <c r="K115" i="9"/>
  <c r="K114" i="9"/>
  <c r="K113"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 r="K3" i="9"/>
  <c r="K2" i="9"/>
  <c r="J121" i="9"/>
  <c r="J120" i="9"/>
  <c r="J119" i="9"/>
  <c r="J118" i="9"/>
  <c r="J117" i="9"/>
  <c r="J116" i="9"/>
  <c r="J115" i="9"/>
  <c r="J114" i="9"/>
  <c r="J113" i="9"/>
  <c r="J112" i="9"/>
  <c r="J111" i="9"/>
  <c r="J110" i="9"/>
  <c r="J109" i="9"/>
  <c r="J108" i="9"/>
  <c r="J107" i="9"/>
  <c r="J106" i="9"/>
  <c r="J105" i="9"/>
  <c r="J104" i="9"/>
  <c r="J103" i="9"/>
  <c r="J102" i="9"/>
  <c r="J101" i="9"/>
  <c r="J100" i="9"/>
  <c r="J99" i="9"/>
  <c r="J98" i="9"/>
  <c r="J97" i="9"/>
  <c r="J96" i="9"/>
  <c r="J95" i="9"/>
  <c r="J94" i="9"/>
  <c r="J93" i="9"/>
  <c r="J92" i="9"/>
  <c r="J91" i="9"/>
  <c r="J90" i="9"/>
  <c r="J89" i="9"/>
  <c r="J88" i="9"/>
  <c r="J87" i="9"/>
  <c r="J86" i="9"/>
  <c r="J85" i="9"/>
  <c r="J84" i="9"/>
  <c r="J83" i="9"/>
  <c r="J82" i="9"/>
  <c r="J81" i="9"/>
  <c r="J80" i="9"/>
  <c r="J79" i="9"/>
  <c r="J78" i="9"/>
  <c r="J77" i="9"/>
  <c r="J76" i="9"/>
  <c r="J75" i="9"/>
  <c r="J74" i="9"/>
  <c r="J73" i="9"/>
  <c r="J72" i="9"/>
  <c r="J71" i="9"/>
  <c r="J70" i="9"/>
  <c r="J69" i="9"/>
  <c r="J68" i="9"/>
  <c r="J67" i="9"/>
  <c r="J66" i="9"/>
  <c r="J65" i="9"/>
  <c r="J64" i="9"/>
  <c r="J63" i="9"/>
  <c r="J62" i="9"/>
  <c r="J61" i="9"/>
  <c r="J60" i="9"/>
  <c r="J59" i="9"/>
  <c r="J58" i="9"/>
  <c r="J57" i="9"/>
  <c r="J56" i="9"/>
  <c r="J55" i="9"/>
  <c r="J54" i="9"/>
  <c r="J53" i="9"/>
  <c r="J52" i="9"/>
  <c r="J51" i="9"/>
  <c r="J50" i="9"/>
  <c r="J49" i="9"/>
  <c r="J48" i="9"/>
  <c r="J47" i="9"/>
  <c r="J46" i="9"/>
  <c r="J45" i="9"/>
  <c r="J44" i="9"/>
  <c r="J43" i="9"/>
  <c r="J42" i="9"/>
  <c r="J41" i="9"/>
  <c r="J40" i="9"/>
  <c r="J39" i="9"/>
  <c r="J38" i="9"/>
  <c r="J37" i="9"/>
  <c r="J36" i="9"/>
  <c r="J35" i="9"/>
  <c r="J34" i="9"/>
  <c r="J33" i="9"/>
  <c r="J32" i="9"/>
  <c r="J31" i="9"/>
  <c r="J30" i="9"/>
  <c r="J29" i="9"/>
  <c r="J28" i="9"/>
  <c r="J27" i="9"/>
  <c r="J26" i="9"/>
  <c r="J25" i="9"/>
  <c r="J24" i="9"/>
  <c r="J23" i="9"/>
  <c r="J22" i="9"/>
  <c r="J21" i="9"/>
  <c r="J20" i="9"/>
  <c r="J19" i="9"/>
  <c r="J18" i="9"/>
  <c r="J17" i="9"/>
  <c r="J16" i="9"/>
  <c r="J15" i="9"/>
  <c r="J14" i="9"/>
  <c r="J13" i="9"/>
  <c r="J12" i="9"/>
  <c r="J11" i="9"/>
  <c r="J10" i="9"/>
  <c r="J9" i="9"/>
  <c r="J8" i="9"/>
  <c r="J7" i="9"/>
  <c r="J6" i="9"/>
  <c r="J5" i="9"/>
  <c r="J4" i="9"/>
  <c r="J3" i="9"/>
  <c r="J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H121" i="9"/>
  <c r="H120" i="9"/>
  <c r="H119" i="9"/>
  <c r="H118" i="9"/>
  <c r="H117" i="9"/>
  <c r="H116" i="9"/>
  <c r="H115" i="9"/>
  <c r="H114" i="9"/>
  <c r="H113" i="9"/>
  <c r="H112" i="9"/>
  <c r="H111" i="9"/>
  <c r="H110" i="9"/>
  <c r="H109" i="9"/>
  <c r="H108" i="9"/>
  <c r="H107" i="9"/>
  <c r="H106" i="9"/>
  <c r="H105" i="9"/>
  <c r="H104" i="9"/>
  <c r="H103" i="9"/>
  <c r="H102" i="9"/>
  <c r="H101" i="9"/>
  <c r="H100" i="9"/>
  <c r="H99" i="9"/>
  <c r="H98" i="9"/>
  <c r="H97" i="9"/>
  <c r="H96" i="9"/>
  <c r="H95" i="9"/>
  <c r="H94" i="9"/>
  <c r="H93" i="9"/>
  <c r="H92" i="9"/>
  <c r="H91" i="9"/>
  <c r="H90"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H3" i="9"/>
  <c r="H2" i="9"/>
  <c r="G121" i="9"/>
  <c r="G120" i="9"/>
  <c r="G119" i="9"/>
  <c r="G118" i="9"/>
  <c r="G117" i="9"/>
  <c r="G116" i="9"/>
  <c r="G115" i="9"/>
  <c r="G114" i="9"/>
  <c r="G113" i="9"/>
  <c r="G112" i="9"/>
  <c r="G111" i="9"/>
  <c r="G110" i="9"/>
  <c r="G109" i="9"/>
  <c r="G108" i="9"/>
  <c r="G107" i="9"/>
  <c r="G106" i="9"/>
  <c r="G105" i="9"/>
  <c r="G104" i="9"/>
  <c r="G103" i="9"/>
  <c r="G102" i="9"/>
  <c r="G101" i="9"/>
  <c r="G100" i="9"/>
  <c r="G99" i="9"/>
  <c r="G98" i="9"/>
  <c r="G97" i="9"/>
  <c r="G96" i="9"/>
  <c r="G95" i="9"/>
  <c r="G94" i="9"/>
  <c r="G93" i="9"/>
  <c r="G92" i="9"/>
  <c r="G91" i="9"/>
  <c r="G90" i="9"/>
  <c r="G89" i="9"/>
  <c r="G88" i="9"/>
  <c r="G87" i="9"/>
  <c r="G86" i="9"/>
  <c r="G85" i="9"/>
  <c r="G84" i="9"/>
  <c r="G83" i="9"/>
  <c r="G82" i="9"/>
  <c r="G81" i="9"/>
  <c r="G80" i="9"/>
  <c r="G79" i="9"/>
  <c r="G78" i="9"/>
  <c r="G77" i="9"/>
  <c r="G76" i="9"/>
  <c r="G75" i="9"/>
  <c r="G74" i="9"/>
  <c r="G73" i="9"/>
  <c r="G72" i="9"/>
  <c r="G71" i="9"/>
  <c r="G70" i="9"/>
  <c r="G69" i="9"/>
  <c r="G68" i="9"/>
  <c r="G67" i="9"/>
  <c r="G66" i="9"/>
  <c r="G65" i="9"/>
  <c r="G64" i="9"/>
  <c r="G63" i="9"/>
  <c r="G62" i="9"/>
  <c r="G61" i="9"/>
  <c r="G60"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G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2" i="9"/>
  <c r="F11" i="9"/>
  <c r="F10" i="9"/>
  <c r="F9" i="9"/>
  <c r="F8" i="9"/>
  <c r="F7" i="9"/>
  <c r="F6" i="9"/>
  <c r="F5" i="9"/>
  <c r="F4" i="9"/>
  <c r="F2" i="9"/>
  <c r="D123" i="6"/>
  <c r="D117" i="6" l="1"/>
  <c r="D118" i="6"/>
  <c r="D119" i="6"/>
  <c r="D120" i="6"/>
  <c r="D121" i="6"/>
  <c r="D122" i="6"/>
  <c r="D109" i="6"/>
  <c r="D110" i="6"/>
  <c r="D104" i="6"/>
  <c r="D105" i="6"/>
  <c r="D106" i="6"/>
  <c r="D107" i="6"/>
  <c r="D95" i="6"/>
  <c r="D96" i="6"/>
  <c r="D97" i="6"/>
  <c r="D98" i="6"/>
  <c r="D99" i="6"/>
  <c r="D100" i="6"/>
  <c r="D101" i="6"/>
  <c r="D93" i="6"/>
  <c r="D70" i="6"/>
  <c r="D71" i="6"/>
  <c r="D72" i="6"/>
  <c r="D74" i="6"/>
  <c r="D75" i="6"/>
  <c r="D76" i="6"/>
  <c r="D77" i="6"/>
  <c r="D78" i="6"/>
  <c r="D79" i="6"/>
  <c r="D80" i="6"/>
  <c r="D81" i="6"/>
  <c r="D82" i="6"/>
  <c r="D83" i="6"/>
  <c r="D84" i="6"/>
  <c r="D85" i="6"/>
  <c r="D86" i="6"/>
  <c r="D87" i="6"/>
  <c r="D88" i="6"/>
  <c r="D89" i="6"/>
  <c r="D51" i="6"/>
  <c r="D52" i="6"/>
  <c r="D53" i="6"/>
  <c r="D54" i="6"/>
  <c r="D55" i="6"/>
  <c r="D56" i="6"/>
  <c r="D57" i="6"/>
  <c r="D58" i="6"/>
  <c r="D59" i="6"/>
  <c r="D60" i="6"/>
  <c r="D61" i="6"/>
  <c r="D62" i="6"/>
  <c r="D63" i="6"/>
  <c r="D64" i="6"/>
  <c r="D67" i="6"/>
  <c r="D41" i="6"/>
  <c r="D42" i="6"/>
  <c r="D43" i="6"/>
  <c r="D44" i="6"/>
  <c r="D45" i="6"/>
  <c r="D46" i="6"/>
  <c r="D47" i="6"/>
  <c r="D48" i="6"/>
  <c r="D49" i="6"/>
  <c r="D36" i="6"/>
  <c r="D37" i="6"/>
  <c r="D33" i="6"/>
  <c r="D34" i="6"/>
  <c r="D8" i="6"/>
  <c r="D9" i="6"/>
  <c r="D10" i="6"/>
  <c r="D11" i="6"/>
  <c r="D12" i="6"/>
  <c r="D13" i="6"/>
  <c r="D14" i="6"/>
  <c r="D15" i="6"/>
  <c r="D16" i="6"/>
  <c r="D17" i="6"/>
  <c r="D18" i="6"/>
  <c r="D19" i="6"/>
  <c r="D20" i="6"/>
  <c r="D21" i="6"/>
  <c r="D22" i="6"/>
  <c r="D23" i="6"/>
  <c r="D24" i="6"/>
  <c r="D25" i="6"/>
  <c r="D26" i="6"/>
  <c r="D27" i="6"/>
  <c r="D28" i="6"/>
  <c r="D29" i="6"/>
  <c r="D30" i="6"/>
  <c r="D31" i="6"/>
  <c r="D3" i="6"/>
  <c r="D4" i="6"/>
  <c r="D5" i="6"/>
  <c r="D6" i="6"/>
  <c r="D2" i="6"/>
  <c r="D115" i="6"/>
  <c r="D114" i="6"/>
  <c r="D111" i="6"/>
  <c r="D108" i="6"/>
  <c r="D103" i="6"/>
  <c r="D102" i="6"/>
  <c r="D94" i="6"/>
  <c r="D92" i="6"/>
  <c r="D91" i="6"/>
  <c r="D90" i="6"/>
  <c r="D69" i="6"/>
  <c r="D68" i="6"/>
  <c r="D50" i="6"/>
  <c r="D40" i="6"/>
  <c r="D39" i="6"/>
  <c r="D38" i="6"/>
  <c r="D35" i="6"/>
  <c r="D32" i="6"/>
  <c r="D7" i="6"/>
  <c r="N3" i="6" l="1"/>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7" i="6"/>
  <c r="N68" i="6"/>
  <c r="N69" i="6"/>
  <c r="N70" i="6"/>
  <c r="N71" i="6"/>
  <c r="N72"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7" i="6"/>
  <c r="N118" i="6"/>
  <c r="N119" i="6"/>
  <c r="N120" i="6"/>
  <c r="N121" i="6"/>
  <c r="N122" i="6"/>
  <c r="N2" i="6"/>
</calcChain>
</file>

<file path=xl/sharedStrings.xml><?xml version="1.0" encoding="utf-8"?>
<sst xmlns="http://schemas.openxmlformats.org/spreadsheetml/2006/main" count="1153" uniqueCount="413">
  <si>
    <t>Betaalmodule</t>
  </si>
  <si>
    <t>Inlogmodule</t>
  </si>
  <si>
    <t>Locatiemodule</t>
  </si>
  <si>
    <t>Upload module</t>
  </si>
  <si>
    <t>Notificatiemodule</t>
  </si>
  <si>
    <r>
      <rPr>
        <b/>
        <sz val="11"/>
        <color rgb="FFFF0000"/>
        <rFont val="Calibri"/>
        <family val="2"/>
        <scheme val="minor"/>
      </rPr>
      <t>Business engines</t>
    </r>
    <r>
      <rPr>
        <sz val="11"/>
        <color theme="1"/>
        <rFont val="Calibri"/>
        <family val="2"/>
        <scheme val="minor"/>
      </rPr>
      <t xml:space="preserve"> hebben een technische component en een user interface die de gebruiker kan ondersteunen in zijn/haar activiteiten (bv. creatie van een proces workflow).</t>
    </r>
  </si>
  <si>
    <r>
      <t>De</t>
    </r>
    <r>
      <rPr>
        <b/>
        <sz val="11"/>
        <color rgb="FFFF0000"/>
        <rFont val="Calibri"/>
        <family val="2"/>
        <scheme val="minor"/>
      </rPr>
      <t xml:space="preserve"> Platform engines</t>
    </r>
    <r>
      <rPr>
        <sz val="11"/>
        <color theme="1"/>
        <rFont val="Calibri"/>
        <family val="2"/>
        <scheme val="minor"/>
      </rPr>
      <t xml:space="preserve"> zijn engines die nodig zijn om het ACPaaS platform functioneel te gebruiken. Zij hebben typisch enkel een beheerinterface en worden normaliter niet getoond aan een eindgebruiker.</t>
    </r>
  </si>
  <si>
    <r>
      <t xml:space="preserve">De </t>
    </r>
    <r>
      <rPr>
        <b/>
        <sz val="11"/>
        <color rgb="FFFF0000"/>
        <rFont val="Calibri"/>
        <family val="2"/>
        <scheme val="minor"/>
      </rPr>
      <t>Data engines</t>
    </r>
    <r>
      <rPr>
        <sz val="11"/>
        <color theme="1"/>
        <rFont val="Calibri"/>
        <family val="2"/>
        <scheme val="minor"/>
      </rPr>
      <t xml:space="preserve"> bevatten de 5 centrale referentie systemen (CRS), IoT Gateway Data, e.a.</t>
    </r>
  </si>
  <si>
    <t>Winkelwagen</t>
  </si>
  <si>
    <t>Voice &amp; Speech</t>
  </si>
  <si>
    <t>UI componenten</t>
  </si>
  <si>
    <t>Onderdelen</t>
  </si>
  <si>
    <t>Component</t>
  </si>
  <si>
    <t>Platform engine</t>
  </si>
  <si>
    <t>Klantvragen</t>
  </si>
  <si>
    <t>Data</t>
  </si>
  <si>
    <t>Landelijke voorzieningen</t>
  </si>
  <si>
    <t>Identiteit en toegang</t>
  </si>
  <si>
    <t>NLX</t>
  </si>
  <si>
    <t>API Gateway / store</t>
  </si>
  <si>
    <t>Trouwen</t>
  </si>
  <si>
    <t>BRP</t>
  </si>
  <si>
    <t>BRI</t>
  </si>
  <si>
    <t>BAG</t>
  </si>
  <si>
    <t>PDC</t>
  </si>
  <si>
    <t>Registratie Babsen</t>
  </si>
  <si>
    <t>Registratie trouwlocaties</t>
  </si>
  <si>
    <t>eHerkenning</t>
  </si>
  <si>
    <t>Itsme</t>
  </si>
  <si>
    <t>DigiD</t>
  </si>
  <si>
    <t>eID</t>
  </si>
  <si>
    <t>Life Events</t>
  </si>
  <si>
    <t>Vind Catalogus</t>
  </si>
  <si>
    <t>Beschrijving</t>
  </si>
  <si>
    <t>Input</t>
  </si>
  <si>
    <t>Bezwaar</t>
  </si>
  <si>
    <t>Idee</t>
  </si>
  <si>
    <t>Inkomen</t>
  </si>
  <si>
    <t>Parkeren</t>
  </si>
  <si>
    <t>Ver-huizen</t>
  </si>
  <si>
    <t>Onder-nemer</t>
  </si>
  <si>
    <t>Output</t>
  </si>
  <si>
    <t>Klantvraageditor</t>
  </si>
  <si>
    <t>Notificaties</t>
  </si>
  <si>
    <t>x</t>
  </si>
  <si>
    <t>Order</t>
  </si>
  <si>
    <t>FAQ's, Life Events, Vind Catalogus, PDC, App Content</t>
  </si>
  <si>
    <t>Order module</t>
  </si>
  <si>
    <t>Filter module</t>
  </si>
  <si>
    <t>API</t>
  </si>
  <si>
    <t>Een lijst met datums en/of tijdstippen</t>
  </si>
  <si>
    <t>Attribuut module</t>
  </si>
  <si>
    <t>Onderteken module</t>
  </si>
  <si>
    <t>Financieel systeem</t>
  </si>
  <si>
    <t>Administratieve afhandeling vanuit betaalmodule</t>
  </si>
  <si>
    <t>Trouworder</t>
  </si>
  <si>
    <t>ZDS 2.0</t>
  </si>
  <si>
    <t>Benodigde api om zaakgericht te kunnen registreren (naar zrc, drc, ztc, brc)</t>
  </si>
  <si>
    <t>Machtigingen</t>
  </si>
  <si>
    <t>register voor het bijhouden van uitgegeven machtigingen (een persoon mag namens een ander persoon zaken doen)</t>
  </si>
  <si>
    <t>De klantvraageditor is een gebruikersvriendelijke interface gekoppeld aan een BPM-engine.
Met deze editor kan een klantvraagontwikkelaar zonder specifieke voorkennis, eenvoudig en snel een flow voor een klantvraag in elkaar zetten, testen, previewen, aanpassen en publiceren.
Het publiceren resulteert in een aantal schermen die doorlopen kunnen worden enerzijds en een vertaling naar een voor een BPM-engine leesbaar formaat (standaard).....
De flows worden opgebouwd met blokken die hun eigen functionaliteit bevatten, bijv. een keuzemogelijkheid, een vinkoptie, een agenda, een uploadfunctie etc.
Om de juiste data te kunnen tonen is het mogelijk om API's te koppelen aan de blokken/processtappen. 
Vervolgklantvragen vanuit de backoffice / Mijnportal (wanneer is dit nodig of wordt dit gebruikt?)</t>
  </si>
  <si>
    <t>(AVG) Logging</t>
  </si>
  <si>
    <t>Workflow engine (BPM)</t>
  </si>
  <si>
    <t>Een workflow-engine is een softwaretoepassing of tool die is ontworpen om gebruikers te helpen bij het afdwingen van een reeks terugkerende taken die samen een 'bedrijfsproces' of een 'workflow' vormen. Ze nemen signalen uit het ontwerp van de workflow en begeleiden het proces via de verschillende stappen. Dit gebeurt via taakroutering, ook wel werkstroomautomatisering genoemd.
Uit voorgedefinieerde processtappen/beslismomenten zijn API's te bevragen/ aan te roepen. De flow is de technische motor van de klantvraag...
Combineren met de klantvriendelijke klantvraageditor</t>
  </si>
  <si>
    <t>mechanisme dat alle transacties waar gegevens bij zijn betrokken logt: systeem, doelbinding, organisatie id, persoon id, proces id….</t>
  </si>
  <si>
    <t>beheren van beschikbaar gestelde api's vanuit een organisatie
API's beschikbaar gesteld aan NLX, worden automatisch opgenomen in API register van NLX!!</t>
  </si>
  <si>
    <t>Chatbot</t>
  </si>
  <si>
    <t>Digital experience engine</t>
  </si>
  <si>
    <t>Talk back module</t>
  </si>
  <si>
    <t>NLX Inway</t>
  </si>
  <si>
    <t>NLX outway</t>
  </si>
  <si>
    <t>Gebruikersbeheer</t>
  </si>
  <si>
    <t>Look and Feel (dienstverlener)</t>
  </si>
  <si>
    <t>ESB</t>
  </si>
  <si>
    <t>GBA (lokaal)</t>
  </si>
  <si>
    <t>NHR</t>
  </si>
  <si>
    <t>BRK</t>
  </si>
  <si>
    <t>BRT</t>
  </si>
  <si>
    <t>BGT</t>
  </si>
  <si>
    <t>BRV</t>
  </si>
  <si>
    <t>WOZ</t>
  </si>
  <si>
    <t>Zaken</t>
  </si>
  <si>
    <t>Zaaktypen</t>
  </si>
  <si>
    <t>Besluiten (beschikkingen)</t>
  </si>
  <si>
    <t>Ondersteuning</t>
  </si>
  <si>
    <t>Onderdak</t>
  </si>
  <si>
    <t>Schulden</t>
  </si>
  <si>
    <t>Klacht</t>
  </si>
  <si>
    <t>Digital experience front-end</t>
  </si>
  <si>
    <t>Virutele assistent???</t>
  </si>
  <si>
    <t>Beheeromgeving smart toolbox</t>
  </si>
  <si>
    <t>Marktplaats</t>
  </si>
  <si>
    <t>Toolkits</t>
  </si>
  <si>
    <t>AI engines</t>
  </si>
  <si>
    <t>IoT engines</t>
  </si>
  <si>
    <t>De chatbot engine vormt de motor om chatbots op te zetten. Een chatbot is een nieuwe manier om inwoners, ondernemers en medewerkers via conversaties in menselijke taal te helpen bij vragen naar informatie. Deze technologie kan ook processen in gang zetten met de info die gebruikers aan een chatbot verstrekken. Chatbots zijn uitermate interessant om veel voorkomende vragen geautomatiseerd te beantwoorden.</t>
  </si>
  <si>
    <t xml:space="preserve">Dit is de interface voor de gebruiker van MijnApp om toegang te krijgen. Aan de achterkant kunnen verschillende identiteits modules gekoppeld worden, zoals DigiD, Itsme, eID (dit zijn platform engines)
De inlogmodule wordt ook gebruikt om in te loggen in MijnPortaal door medewerkers van een dienstverlenende organisatie. Deze instantie van de inlogmodule kan aan een andere identiteitsmodule gekoppeld zijn als de instantie voor MijnApp
In de inlogmodule zit de identificatie en authenticate. Waar worden  biometrische gegevens opgeslagen? (Nu is dat vaak op de telefoon maar willen we dat andere apps deze gegevens op je telefoon kunnen benaderen?)
---------
De Identity &amp; Access engine faciliteert de toegang van een gebruiker tot een toepassingen of een set van functionaliteiten.
De engine voorziet in:
•authenticatie adhv user / paswoord tov Active Directory 
•authenticatie adhv eID of itsme 
•het ophalen van permissies voor een Active Directory gebruiker 
</t>
  </si>
  <si>
    <t>Interface naar DigiD</t>
  </si>
  <si>
    <t>Interface naar Itsme</t>
  </si>
  <si>
    <t>Interface naar Machtingingen registratie</t>
  </si>
  <si>
    <t>Interface naar NLX</t>
  </si>
  <si>
    <t>Interface naar Babs beschikbaarheidsregister</t>
  </si>
  <si>
    <t>Interface naar Locatie beschikbaarheidsregister</t>
  </si>
  <si>
    <t>Interface naar BRP (basisgegevens en gezinssamenstelling</t>
  </si>
  <si>
    <t>BRP (landelijk)</t>
  </si>
  <si>
    <t xml:space="preserve">Beschikbaarheid Babs
</t>
  </si>
  <si>
    <t xml:space="preserve">Beschikbaarheid locatie
</t>
  </si>
  <si>
    <t>IoT Gateway</t>
  </si>
  <si>
    <t>Realtime Processing</t>
  </si>
  <si>
    <t>Metadata mangement</t>
  </si>
  <si>
    <t>Profiing</t>
  </si>
  <si>
    <t>Robotics gateway</t>
  </si>
  <si>
    <t>Data Lake</t>
  </si>
  <si>
    <t>Natural language processing</t>
  </si>
  <si>
    <t>Machine Learning</t>
  </si>
  <si>
    <t>Image recognition</t>
  </si>
  <si>
    <t>MijnContracten</t>
  </si>
  <si>
    <t>Personalisatie</t>
  </si>
  <si>
    <t>(ver)Bouwen</t>
  </si>
  <si>
    <t>Leven in NL</t>
  </si>
  <si>
    <t>Basisregistratie Adressen en Gebouwen</t>
  </si>
  <si>
    <t>Nieuw Handelsregister</t>
  </si>
  <si>
    <t>Basisregistratie Kadaster</t>
  </si>
  <si>
    <t>Basisregistratie Topografie</t>
  </si>
  <si>
    <t>Basisregistratie Personen</t>
  </si>
  <si>
    <t>Basisregistratie Grootschalige Topografie</t>
  </si>
  <si>
    <t>Basisregistratie Voertuigen</t>
  </si>
  <si>
    <t>Basisregistratie Inkomen</t>
  </si>
  <si>
    <t>Interface naar Basisregistratie Grootschalige Topografie</t>
  </si>
  <si>
    <t>Interface naar Basisregistratie Inkomen</t>
  </si>
  <si>
    <t>Interface naar Basisregistratie Topografie</t>
  </si>
  <si>
    <t>Interface naar Basisregistratie Voertuigen</t>
  </si>
  <si>
    <t>Interface naar Basisregistratie Adressen en Gebouwen</t>
  </si>
  <si>
    <t>Interface naar Basisregistratie Kadaster</t>
  </si>
  <si>
    <t>Interface naar Nieuw Handelsregister</t>
  </si>
  <si>
    <t>Vanuit de order module wordt een order klaargezet. Deze order wordt naar een zaakregistratiecomponent gestuurde middels deze Order API (interface)</t>
  </si>
  <si>
    <t>Interface naar Basisregistratie Waardering Onroerende Zaken</t>
  </si>
  <si>
    <t>Predictive en prescriptive algorithmes</t>
  </si>
  <si>
    <t>Interface van notificaties (statuswijzigingen) vanuit  systemen van aangesloten organisaties naar de notificatiemodule voor de gebruiker (en andersom)</t>
  </si>
  <si>
    <t>Interface naar Product Diensten Catalogus (er kunnen meerdere PDC's zijn bij de verschillende aangesloten organisaties. In de toekomst zou er ook een landelijke PDC kunnen zijn)</t>
  </si>
  <si>
    <t>App Content Manager (ACM)</t>
  </si>
  <si>
    <t>PDC (Product- en dienstencatalogus)</t>
  </si>
  <si>
    <t>Leverancier</t>
  </si>
  <si>
    <t>Contacten (personen /organisaties)</t>
  </si>
  <si>
    <t>Met behulp van deze module kan een gebruiker een locatie kiezen op een kaart waarbij de coördinaten worden teruggegeven. Ook andersom kan een dienstverlener locaties laten plotten op een kaart aan de hand van coördinaten</t>
  </si>
  <si>
    <t>Coördinaten</t>
  </si>
  <si>
    <t>Machtigingenmodule</t>
  </si>
  <si>
    <t xml:space="preserve">Deze module haalt van een specifieke gebruiker (inwoner/ondernemer) alle diensten / producten / contracten / beschikkingen / aanvragen op bij de verschillende dienstverleners waar deze gebruiker bij aangesloten is en die bekend zijn in het systeem (bijv. MijnApp)
</t>
  </si>
  <si>
    <t>De notificatiemodule zorgt ervoor dat alle notificaties van van aangesloten organisaties worden getoond voor de gebruiker. De gegevens behorende bij een notificatie bestaan in ieder geval uit een datum, dienstverlenende partij en status</t>
  </si>
  <si>
    <r>
      <rPr>
        <i/>
        <sz val="11"/>
        <rFont val="Calibri"/>
        <family val="2"/>
        <scheme val="minor"/>
      </rPr>
      <t>Definitie overgenomen van ACPaaS</t>
    </r>
    <r>
      <rPr>
        <sz val="11"/>
        <rFont val="Calibri"/>
        <family val="2"/>
        <scheme val="minor"/>
      </rPr>
      <t xml:space="preserve">
Met de Digital Signature engine kunnen elektronische handtekening ‘flows’ geïnitieerd worden.  De engine ondersteunt zowel parallelle als sequentiële handtekening “flows”, waarbij meerdere participanten hetzelfde document ondertekenen. 'Core' van de engine is de Connective suite die voorziet in een wettelijk correcte manier om elektronische handtekeningen te gebruiken op een flexibele manier, en zo digitale workflows te ondersteunen. 
Een groot arsenaal aan tekenmethodes verbetert de gebruikerservaring en vermindert bijkomende administratie.</t>
    </r>
  </si>
  <si>
    <t>Alle gegevens verzameld in de aanvraagflow van een product of dienst worden verzameld in een order. Deze order is een bericht aangemaakt volgens standaard benoemd in Common Ground. Deze order kan via een API naar een afhandelend systeem gestuurd worden</t>
  </si>
  <si>
    <t>Registratie van gemeentelijke besluiten van elk type</t>
  </si>
  <si>
    <t>Business rules</t>
  </si>
  <si>
    <t>Gemeentelijke Basis Administratie persoonsgegevens</t>
  </si>
  <si>
    <t>Een overzicht van alle Babsen die een inwoner kan kiezen voor de huwelijksceremonie. Minimaal zijn de volgende gegevens opgenomen: naam, gemeente(n), persoonlijke toelichting, beschikbaarheid.
Optioneel: presentatie-video</t>
  </si>
  <si>
    <t>Registratie van standaard locaties behorende bij een gemeente met de beschikbaarheid, foto en toelichting</t>
  </si>
  <si>
    <t>Verhuizen</t>
  </si>
  <si>
    <t>Ondernemen</t>
  </si>
  <si>
    <t>Basisgegevens</t>
  </si>
  <si>
    <t>Organiseren</t>
  </si>
  <si>
    <r>
      <rPr>
        <i/>
        <sz val="11"/>
        <color theme="1"/>
        <rFont val="Calibri"/>
        <family val="2"/>
        <scheme val="minor"/>
      </rPr>
      <t>nader te definiëren</t>
    </r>
    <r>
      <rPr>
        <sz val="11"/>
        <color theme="1"/>
        <rFont val="Calibri"/>
        <family val="2"/>
        <scheme val="minor"/>
      </rPr>
      <t xml:space="preserve">
Machine Learning is een wetenschappelijke discipline waarbij patronen in Big Data ontdekt worden. Vervolgens vormen ze de basis voor een voorspellend algoritme (wiskundig model). Door periodiek nieuwe data aan het algoritme toe te voegen blijft het model ‘’leren’’, ofwel nieuwe patronen ontdekken. Dit resulteert in specifiekere patronen die nauwkeuriger voorspellen.</t>
    </r>
  </si>
  <si>
    <r>
      <rPr>
        <i/>
        <sz val="11"/>
        <color theme="1"/>
        <rFont val="Calibri"/>
        <family val="2"/>
        <scheme val="minor"/>
      </rPr>
      <t>nader te definiëren</t>
    </r>
    <r>
      <rPr>
        <sz val="11"/>
        <color theme="1"/>
        <rFont val="Calibri"/>
        <family val="2"/>
        <scheme val="minor"/>
      </rPr>
      <t xml:space="preserve">
Beeldherkenning (image recognition) is een term voor computertechnologieën die bepaalde mensen, dieren, objecten of andere doelgerichte onderwerpen kunnen herkennen door het gebruik van algoritmen en machinale leerconcepten (machine learning). De term 'beeldherkenning' is verbonden met 'computer vision', een overkoepelend label voor het proces van het trainen van computers om mensen te 'zien' en 'beeldverwerking', een verzamelnaam voor computers die intensief werken op data</t>
    </r>
  </si>
  <si>
    <t>Registratie van machtigingen en gemachtigden om namens de inwoner/ondernemer te handelen</t>
  </si>
  <si>
    <t>Afhandeling klantvragen</t>
  </si>
  <si>
    <t xml:space="preserve">De module zorgt voor het vertalen van gegevens opgehaald vanuit een bron naar validaties zoals leeftijd &gt; 18 jaar, inkomen &lt; 20.000 </t>
  </si>
  <si>
    <t>De winkelwagen verzamelt de producten/diensten/onderdelen van een aanvraag waar kosten aan verbonden zijn. De specificaties (kosten, uniek nummer) van het product worden uit de PDC gehaald</t>
  </si>
  <si>
    <t>Basisregistratie Waardering Onroerende Zaken</t>
  </si>
  <si>
    <t xml:space="preserve">Een bibliotheek van alle verschillende zaaktypen die voor een (overheids)organisatie van toepassing zijn.
•Het zaaktype bepaalt de wijze van afhandeling van het proces.
•Voor ieder zaaktype zijn bedrijfsregels vastgelegd (in de vorm van een beslisboom) die bepalen op welke wijze de aanvraag binnen het proces verder moet worden afgehandeld.
•De zaaktypecatalogus is te beschouwen als een verdere detaillering van de productencatalogus.
</t>
  </si>
  <si>
    <t xml:space="preserve">Registratie van zaken
Een zaak is een samenhangende hoeveelheid werk met een gedefinieerde aanleiding en een gedefinieerd resultaat waarvan kwaliteit en doorlooptijd bewaakt moeten worden.
Het werk bestaat uit activiteiten. Er wordt dus een proces uitgevoerd en dat proces heeft een begin, gemarkeerd door de aanleiding, en een einde, dat gemarkeerd wordt door het resultaat. Bij de uitvoering van dat proces wordt gewerkt met informatie. Dat is informatie die bij de zaak hoort. Bij Zaakgericht werken wordt die informatie gebundeld in een zaakdossier. 
</t>
  </si>
  <si>
    <t>Ondersteuning voor de personalisatiemogelijkheden voor de gebruiker</t>
  </si>
  <si>
    <t xml:space="preserve">nader te definiëren
</t>
  </si>
  <si>
    <t>Een Chatbot is een virtuele medewerker die kan helpen om snel en eenvoudig klanten te woord te staan</t>
  </si>
  <si>
    <t>De IoT Gateway beheert IoT devices én tapt real-time datastromen af om verder te gebruikem
De afgetapte data wordt vervolgens doorgegeven aan het data lake en/of andere software componenten voor verdere verwerking en analyse.</t>
  </si>
  <si>
    <t>Teksten van meer dan 400 gemeentelijke producten en diensten, aangevuld met ruim 2.200 Vraag-Antwoord combinaties (VAC's). Multichannel publishing - enkelvoudig beheer van content - publicatie via meerdere kanalen, op basis van xml/webservices koppelingen. Beheer van juridisch correcte, begrijpelijke teksten door expert redactie. Zelf (gemeente-specifieke) teksten maken, wijzigen en publiceren. In alle kanalen hetzelfde antwoord. Aan te sluiten op alle website / CMS- en KCC-leveranciers, kennisbanken, zaaksystemen, afsprakensystemen. Voldoet aan content standaarden - STUF, UPL, Samenwerkende catalogi, TIO Metadatering van content, trefwoorden en thematische indeling van producten en diensten</t>
  </si>
  <si>
    <t>Ik wil (ver)bouwen</t>
  </si>
  <si>
    <t>Ik heb een vraag over mijn basisgegevens</t>
  </si>
  <si>
    <t>Ik wil bezwaar maken</t>
  </si>
  <si>
    <t>Ik heb een briljant idee</t>
  </si>
  <si>
    <t>Ik heb (bijna) geen inkomen</t>
  </si>
  <si>
    <t>Ik heb een klacht</t>
  </si>
  <si>
    <t>Ik wil een leven opbouwen in Nederland</t>
  </si>
  <si>
    <t>Ik heb geen onderdak</t>
  </si>
  <si>
    <t>Ik wil ondernemen</t>
  </si>
  <si>
    <t>Ik wil ondersteuning</t>
  </si>
  <si>
    <t>Ik wil iets organiseren</t>
  </si>
  <si>
    <t>Ik wil parkeren</t>
  </si>
  <si>
    <t>Ik heb schulden</t>
  </si>
  <si>
    <t>Ik wil trouwen</t>
  </si>
  <si>
    <t>Ik wil verhuizen</t>
  </si>
  <si>
    <t>DigiD staat voor Digitale identiteit. Met uw DigiD kunt u inloggen op websites van de overheid en in de zorg. 
Als u inlogt met uw DigiD, stuurt DigiD uw burgerservicenummer ( BSN ) door aan de website van de organisatie waar u inlogt. Alleen organisaties die gerechtigd zijn het BSN te gebruiken mogen van DigiD gebruikmaken. Zo weten organisaties wie u bent. 
Er worden geen persoonlijke gegevens opgeslagen en uw wachtwoord en gebruikersnaam worden nooit doorgestuurd aan andere organisaties.</t>
  </si>
  <si>
    <t>eHerkenning is de manier van inloggen voor ondernemers. Met een eHerkenningsmiddel logt u op 1 manier veilig in bij alle aangesloten organisaties.</t>
  </si>
  <si>
    <t>De overheid wil graag dat mensen veilig kunnen inloggen bij overheidsorganisaties en zorginstellingen. Dit noemen we eID. eID staat voor elektronische identiteit. De overheid wil dat burgers meer zaken kunnen regelen via internet. Om die reden wordt stapsgewijs gewerkt aan het verhogen van het betrouwbaarheidsniveau van de inlogmiddelen en het waarborgen van de continuïteit.</t>
  </si>
  <si>
    <t xml:space="preserve">Een enterprise service bus (ESB) is een architecturale softwareconstructie (pattern) waarmee de communicatie tussen de afnemers van diensten (“service”) en aanbieders hiervan, vereenvoudigd wordt. De ESB biedt hiertoe aan de kant van de aanvrager een met de aanvrager afgesproken interface aan, dit kan een webservice zijn, maar bijvoorbeeld ook een SMTP (e-mail) interface. Aan de kant van de aanbieder zal de ESB via de interface die met de aanbieder is afgesproken communiceren. Zo kan het dus gebeuren dat een aanvrager van een dienst op een compleet andere wijze met de ESB communiceert dan de ESB met de aanbieder. Onderstaande figuur geeft dit schematisch weer. </t>
  </si>
  <si>
    <t>Met deze module is het mogelijk voor een dienstverlener om zijn content te eigen organisatie look and feel mee te geven</t>
  </si>
  <si>
    <t>Gebruikersbeheer is het proces dat gericht is op het administreren van gebruikers van IT- en informatiesystemen. Het bestaat uit twee onderdelen: registratie (vastleggen van de juiste identiteitsinformatie) en autorisatie (toekennen van autorisaties en gebruikersrechten aan gebruikers)</t>
  </si>
  <si>
    <t>De Identity &amp; Access engine faciliteert de toegang van een gebruiker tot een toepassingen of een set van functionaliteiten.
De engine voorziet in:
•authenticatie adhv eID,  itsme, DigiD 
•authenticatie adhv user / paswoord (voor beheerdersomgeving bijv.)
•het ophalen van permissies</t>
  </si>
  <si>
    <t>(Ver)bouwen</t>
  </si>
  <si>
    <r>
      <t xml:space="preserve">De categorie </t>
    </r>
    <r>
      <rPr>
        <b/>
        <sz val="11"/>
        <color rgb="FFFF0000"/>
        <rFont val="Calibri"/>
        <family val="2"/>
        <scheme val="minor"/>
      </rPr>
      <t>Platform engines</t>
    </r>
    <r>
      <rPr>
        <sz val="11"/>
        <color theme="1"/>
        <rFont val="Calibri"/>
        <family val="2"/>
        <scheme val="minor"/>
      </rPr>
      <t xml:space="preserve"> bevat componenten die belangrijk zijn voor het functioneren van het platform zelf. In de blauwdruk zitten basisfunctionaliteiten zoals een marketplace, security, logging, enzovoort. maar ook deze opsomming is niet limitatief.
De </t>
    </r>
    <r>
      <rPr>
        <b/>
        <sz val="11"/>
        <color rgb="FFFF0000"/>
        <rFont val="Calibri"/>
        <family val="2"/>
        <scheme val="minor"/>
      </rPr>
      <t>Business engines</t>
    </r>
    <r>
      <rPr>
        <sz val="11"/>
        <color theme="1"/>
        <rFont val="Calibri"/>
        <family val="2"/>
        <scheme val="minor"/>
      </rPr>
      <t xml:space="preserve"> zijn componenten zoals een notificatiesysteem, digital assets, meertaligheid, chat, digitale handtekening, enzovoort.
De</t>
    </r>
    <r>
      <rPr>
        <b/>
        <sz val="11"/>
        <color rgb="FFFF0000"/>
        <rFont val="Calibri"/>
        <family val="2"/>
        <scheme val="minor"/>
      </rPr>
      <t xml:space="preserve"> Digital Experience engines</t>
    </r>
    <r>
      <rPr>
        <sz val="11"/>
        <color theme="1"/>
        <rFont val="Calibri"/>
        <family val="2"/>
        <scheme val="minor"/>
      </rPr>
      <t xml:space="preserve"> bevat generieke componenten ter ondersteuning van de interactie met de eindgebruikers. Het omvat onder meer een stijlgids, generieke frontend controls voor het bouwen van web apps, chatbots en dergelijke.
De</t>
    </r>
    <r>
      <rPr>
        <b/>
        <sz val="11"/>
        <color theme="1"/>
        <rFont val="Calibri"/>
        <family val="2"/>
        <scheme val="minor"/>
      </rPr>
      <t xml:space="preserve"> </t>
    </r>
    <r>
      <rPr>
        <b/>
        <sz val="11"/>
        <color rgb="FFFF0000"/>
        <rFont val="Calibri"/>
        <family val="2"/>
        <scheme val="minor"/>
      </rPr>
      <t>Digital Experience front-end</t>
    </r>
    <r>
      <rPr>
        <b/>
        <sz val="11"/>
        <color theme="1"/>
        <rFont val="Calibri"/>
        <family val="2"/>
        <scheme val="minor"/>
      </rPr>
      <t xml:space="preserve"> </t>
    </r>
    <r>
      <rPr>
        <sz val="11"/>
        <color theme="1"/>
        <rFont val="Calibri"/>
        <family val="2"/>
        <scheme val="minor"/>
      </rPr>
      <t>bevat een aantal generieke componenten die de gebruikerservaring kunnen helpen uitbreiden.
De categorieën</t>
    </r>
    <r>
      <rPr>
        <b/>
        <sz val="11"/>
        <color theme="1"/>
        <rFont val="Calibri"/>
        <family val="2"/>
        <scheme val="minor"/>
      </rPr>
      <t xml:space="preserve"> </t>
    </r>
    <r>
      <rPr>
        <b/>
        <sz val="11"/>
        <color rgb="FFFF0000"/>
        <rFont val="Calibri"/>
        <family val="2"/>
        <scheme val="minor"/>
      </rPr>
      <t>IoT en Data</t>
    </r>
    <r>
      <rPr>
        <sz val="11"/>
        <color theme="1"/>
        <rFont val="Calibri"/>
        <family val="2"/>
        <scheme val="minor"/>
      </rPr>
      <t xml:space="preserve"> omvat generieke data componenten waaronder de IoT Gateway en onze centrale referentiesystemen: CRS Persoon, CRS Medewerker, CRS Onderneming, CRS Adres en CRS Organisatie die authentieke gegevens ontsluiten.
De </t>
    </r>
    <r>
      <rPr>
        <b/>
        <sz val="11"/>
        <color rgb="FFFF0000"/>
        <rFont val="Calibri"/>
        <family val="2"/>
        <scheme val="minor"/>
      </rPr>
      <t>AI engines</t>
    </r>
    <r>
      <rPr>
        <sz val="11"/>
        <color theme="1"/>
        <rFont val="Calibri"/>
        <family val="2"/>
        <scheme val="minor"/>
      </rPr>
      <t xml:space="preserve"> zijn het R&amp;D stadium ontgroeid maar worden voorlopig nog slechts in test-omgevingen toegepast.
De </t>
    </r>
    <r>
      <rPr>
        <b/>
        <sz val="11"/>
        <color rgb="FFFF0000"/>
        <rFont val="Calibri"/>
        <family val="2"/>
        <scheme val="minor"/>
      </rPr>
      <t>GxP Platformen</t>
    </r>
    <r>
      <rPr>
        <sz val="11"/>
        <color theme="1"/>
        <rFont val="Calibri"/>
        <family val="2"/>
        <scheme val="minor"/>
      </rPr>
      <t xml:space="preserve"> zijn 'engine-clusters' die door het koppelen van een aantal generieke engines in een specifieke context op zichzelf een generiek component vormen om bepaalde functionaliteiten te bieden.
Daarnaast bevat</t>
    </r>
    <r>
      <rPr>
        <b/>
        <sz val="11"/>
        <color theme="1"/>
        <rFont val="Calibri"/>
        <family val="2"/>
        <scheme val="minor"/>
      </rPr>
      <t xml:space="preserve"> </t>
    </r>
    <r>
      <rPr>
        <b/>
        <sz val="11"/>
        <color rgb="FFFF0000"/>
        <rFont val="Calibri"/>
        <family val="2"/>
        <scheme val="minor"/>
      </rPr>
      <t>MyACPaaS</t>
    </r>
    <r>
      <rPr>
        <sz val="11"/>
        <color theme="1"/>
        <rFont val="Calibri"/>
        <family val="2"/>
        <scheme val="minor"/>
      </rPr>
      <t xml:space="preserve"> een aantal hulpmiddelen ("SDK &amp; Tools") om de administratie en configuratie van engines te ondersteunen. Voor de ontwikkeling van toepassingen hebben we naast de generieke frontend componenten ook toolboxen om de koppeling met engines te vereenvoudigen.
</t>
    </r>
  </si>
  <si>
    <t>?</t>
  </si>
  <si>
    <t xml:space="preserve">Platform engines: (componenten die nodig zijn om het geheel te laten werken)
</t>
  </si>
  <si>
    <t>verwachte begindatum</t>
  </si>
  <si>
    <t>verwachte einddatum</t>
  </si>
  <si>
    <r>
      <rPr>
        <i/>
        <sz val="11"/>
        <color theme="1"/>
        <rFont val="Calibri"/>
        <family val="2"/>
        <scheme val="minor"/>
      </rPr>
      <t>nader te definiëren</t>
    </r>
    <r>
      <rPr>
        <sz val="11"/>
        <color theme="1"/>
        <rFont val="Calibri"/>
        <family val="2"/>
        <scheme val="minor"/>
      </rPr>
      <t xml:space="preserve">
Predictive algorithms: algoritmes die statistische modellen en prognosetechnieken gebruiken om de toekomst te begrijpen en te antwoorden: "Wat zou er kunnen gebeuren?"
Prescriptive algorithms: algoritmes waarbij gebruik wordt gemaakt van optimalisatie- en simulatiealgoritmen om te adviseren over mogelijke resultaten en te antwoorden: "Wat moeten we doen?"</t>
    </r>
  </si>
  <si>
    <r>
      <rPr>
        <i/>
        <sz val="11"/>
        <color theme="1"/>
        <rFont val="Calibri"/>
        <family val="2"/>
        <scheme val="minor"/>
      </rPr>
      <t>nader te definiëren</t>
    </r>
    <r>
      <rPr>
        <sz val="11"/>
        <color theme="1"/>
        <rFont val="Calibri"/>
        <family val="2"/>
        <scheme val="minor"/>
      </rPr>
      <t xml:space="preserve">
De vaardigheid van een computerprogramma om een menselijke taal te begrijpen, wordt Natural Language Processing (NLP) genoemd. NLP is eigenlijk een complexe combinatie van computerwetenschap, kunstmatige intelligentie en computationele linguïstiek.  De nadruk ligt op het programmeren van computers op zo’n manier, dat deze een corpora aanmaken van de menselijke taal. Natural Language Processing beperkt zich echter niet tot het begrijpen van de taal; het produceren van menselijke taal is ook een belangrijk aspect. Ultieme uitdaging is het voeren van een dialoog.</t>
    </r>
  </si>
  <si>
    <t>Status</t>
  </si>
  <si>
    <t>R&amp;D</t>
  </si>
  <si>
    <t>Doing</t>
  </si>
  <si>
    <t>Live</t>
  </si>
  <si>
    <t>gemeente Haarlem</t>
  </si>
  <si>
    <t>gemeente Eindhoven</t>
  </si>
  <si>
    <t>Weave</t>
  </si>
  <si>
    <t>Solviteers</t>
  </si>
  <si>
    <t>Indicia</t>
  </si>
  <si>
    <t>gemeente Eindhoven / Utrecht</t>
  </si>
  <si>
    <t>Weave / …</t>
  </si>
  <si>
    <t>VNG</t>
  </si>
  <si>
    <t>Evaluatie / klanttevredenheid</t>
  </si>
  <si>
    <t>Stemmodule</t>
  </si>
  <si>
    <t xml:space="preserve">Aanbeveling / beoordeling
</t>
  </si>
  <si>
    <t>Agenda module</t>
  </si>
  <si>
    <t>Rijlabels</t>
  </si>
  <si>
    <t>(leeg)</t>
  </si>
  <si>
    <t>Soort</t>
  </si>
  <si>
    <t>Verhuisorder</t>
  </si>
  <si>
    <t>Vanuit de klantvraag wordt een JSON bericht samengesteld met daarin alle gegevens uit de verhuisflow.
N.B. in deze API kunnen ook JSON berichten samengesteld worden waarin alleen de goedkeuring van partner en/of getuigen zijn opgenomen
registratieID krijg je terug van de backoffice applicatie.
Deze API wordt gebruikt in de eerste fase wanneer nog geen Zaakregistratie component wordt gebruikt en dus een specifieke interface nodig is naar een backoffice applicatie</t>
  </si>
  <si>
    <t>Vanuit de klantvraag wordt een JSON bericht samengesteld met daarin alle gegevens uit de trouwflow.
N.B. in deze API kunnen ook JSON berichten samengesteld worden waarin alleen de goedkeuring van partner en/of getuigen zijn opgenomen
registratieID krijg je terug van de backoffice applicatie.
Deze API wordt gebruikt in de eerste fase wanneer nog geen Zaakregistratie component wordt gebruikt en dus een specifieke interface nodig is naar een backoffice applicatie</t>
  </si>
  <si>
    <t>(AVG) Logging (Platform engine)</t>
  </si>
  <si>
    <t>Agenda module (Component)</t>
  </si>
  <si>
    <t>Basisgegevens (Klantvragen)</t>
  </si>
  <si>
    <t>Beschikbaarheid Babs
 (API)</t>
  </si>
  <si>
    <t>Bezwaar (Klantvragen)</t>
  </si>
  <si>
    <t>ESB (Platform engine)</t>
  </si>
  <si>
    <t>Gebruikersbeheer (Platform engine)</t>
  </si>
  <si>
    <t>Idee (Klantvragen)</t>
  </si>
  <si>
    <t>Inlogmodule (Component)</t>
  </si>
  <si>
    <t>Klacht (Klantvragen)</t>
  </si>
  <si>
    <t>Klantvraageditor (Component)</t>
  </si>
  <si>
    <t>Life Events (Landelijke voorzieningen)</t>
  </si>
  <si>
    <t>Registratie Babsen (Data)</t>
  </si>
  <si>
    <t>Registratie trouwlocaties (Data)</t>
  </si>
  <si>
    <t>Trouwen (Klantvragen)</t>
  </si>
  <si>
    <t>Verhuizen (Klantvragen)</t>
  </si>
  <si>
    <t>Winkelwagen (Component)</t>
  </si>
  <si>
    <t>(ver)Bouwen (Klantvragen)</t>
  </si>
  <si>
    <t>Aanbeveling / beoordeling
 (Platform engine)</t>
  </si>
  <si>
    <t>Afhandeling klantvragen (Component)</t>
  </si>
  <si>
    <t>App Content Manager (ACM) (Component)</t>
  </si>
  <si>
    <t>BAG (API)</t>
  </si>
  <si>
    <t>BAG (Data)</t>
  </si>
  <si>
    <t>Beschikbaarheid locatie
 (API)</t>
  </si>
  <si>
    <t>Besluiten (beschikkingen) (Data)</t>
  </si>
  <si>
    <t>Betaalmodule (Component)</t>
  </si>
  <si>
    <t>BGT (API)</t>
  </si>
  <si>
    <t>BGT (Data)</t>
  </si>
  <si>
    <t>BRI (API)</t>
  </si>
  <si>
    <t>BRI (Data)</t>
  </si>
  <si>
    <t>BRK (API)</t>
  </si>
  <si>
    <t>BRK (Data)</t>
  </si>
  <si>
    <t>BRP (Data)</t>
  </si>
  <si>
    <t>BRP (landelijk) (API)</t>
  </si>
  <si>
    <t>BRT (API)</t>
  </si>
  <si>
    <t>BRT (Data)</t>
  </si>
  <si>
    <t>BRV (API)</t>
  </si>
  <si>
    <t>BRV (Data)</t>
  </si>
  <si>
    <t>Business rules (Data)</t>
  </si>
  <si>
    <t>Chatbot (Component)</t>
  </si>
  <si>
    <t>Contacten (personen /organisaties) (Component)</t>
  </si>
  <si>
    <t>Data Lake (IoT engines)</t>
  </si>
  <si>
    <t>DigiD (API)</t>
  </si>
  <si>
    <t>DigiD (Landelijke voorzieningen)</t>
  </si>
  <si>
    <t>eHerkenning (Landelijke voorzieningen)</t>
  </si>
  <si>
    <t>eID (Landelijke voorzieningen)</t>
  </si>
  <si>
    <t>Evaluatie / klanttevredenheid (Component)</t>
  </si>
  <si>
    <t>Filter module (Component)</t>
  </si>
  <si>
    <t>Financieel systeem (API)</t>
  </si>
  <si>
    <t>GBA (lokaal) (API)</t>
  </si>
  <si>
    <t>GBA (lokaal) (Data)</t>
  </si>
  <si>
    <t>Identiteit en toegang (Platform engine)</t>
  </si>
  <si>
    <t>Image recognition (AI engines)</t>
  </si>
  <si>
    <t>Inkomen (Klantvragen)</t>
  </si>
  <si>
    <t>IoT Gateway (IoT engines)</t>
  </si>
  <si>
    <t>Itsme (API)</t>
  </si>
  <si>
    <t>Itsme (Landelijke voorzieningen)</t>
  </si>
  <si>
    <t>Leven in NL (Klantvragen)</t>
  </si>
  <si>
    <t>Locatiemodule (Component)</t>
  </si>
  <si>
    <t>Look and Feel (dienstverlener) (Platform engine)</t>
  </si>
  <si>
    <t>Machine Learning (AI engines)</t>
  </si>
  <si>
    <t>Machtigingen (API)</t>
  </si>
  <si>
    <t>Machtigingen (Data)</t>
  </si>
  <si>
    <t>Machtigingenmodule (Component)</t>
  </si>
  <si>
    <t>Marktplaats (Beheeromgeving smart toolbox)</t>
  </si>
  <si>
    <t>Metadata mangement (IoT engines)</t>
  </si>
  <si>
    <t>MijnContracten (Component)</t>
  </si>
  <si>
    <t>Natural language processing (AI engines)</t>
  </si>
  <si>
    <t>NHR (API)</t>
  </si>
  <si>
    <t>NHR (Data)</t>
  </si>
  <si>
    <t>NLX (Landelijke voorzieningen)</t>
  </si>
  <si>
    <t>NLX Inway (API)</t>
  </si>
  <si>
    <t>NLX outway (API)</t>
  </si>
  <si>
    <t>Notificatiemodule (Component)</t>
  </si>
  <si>
    <t>Notificaties (API)</t>
  </si>
  <si>
    <t>Onderdak (Klantvragen)</t>
  </si>
  <si>
    <t>Ondernemen (Klantvragen)</t>
  </si>
  <si>
    <t>Ondersteuning (Klantvragen)</t>
  </si>
  <si>
    <t>Onderteken module (Component)</t>
  </si>
  <si>
    <t>Order (API)</t>
  </si>
  <si>
    <t>Order module (Component)</t>
  </si>
  <si>
    <t>Organiseren (Klantvragen)</t>
  </si>
  <si>
    <t>Parkeren (Klantvragen)</t>
  </si>
  <si>
    <t>PDC (API)</t>
  </si>
  <si>
    <t>PDC (Product- en dienstencatalogus) (Data)</t>
  </si>
  <si>
    <t>Personalisatie (Component)</t>
  </si>
  <si>
    <t>Predictive en prescriptive algorithmes (AI engines)</t>
  </si>
  <si>
    <t>Profiing (IoT engines)</t>
  </si>
  <si>
    <t>Realtime Processing (IoT engines)</t>
  </si>
  <si>
    <t>Robotics gateway (IoT engines)</t>
  </si>
  <si>
    <t>Schulden (Klantvragen)</t>
  </si>
  <si>
    <t>Stemmodule (Component)</t>
  </si>
  <si>
    <t>Talk back module (Component)</t>
  </si>
  <si>
    <t>Toolkits (Beheeromgeving smart toolbox)</t>
  </si>
  <si>
    <t>Trouworder (API)</t>
  </si>
  <si>
    <t>UI componenten (Component)</t>
  </si>
  <si>
    <t>Upload module (Component)</t>
  </si>
  <si>
    <t>Verhuisorder (API)</t>
  </si>
  <si>
    <t>Vind Catalogus (Landelijke voorzieningen)</t>
  </si>
  <si>
    <t>Virutele assistent??? (Component)</t>
  </si>
  <si>
    <t>Voice &amp; Speech (Component)</t>
  </si>
  <si>
    <t>Workflow engine (BPM) (Platform engine)</t>
  </si>
  <si>
    <t>WOZ (API)</t>
  </si>
  <si>
    <t>WOZ (Data)</t>
  </si>
  <si>
    <t>Zaaktypen (Data)</t>
  </si>
  <si>
    <t>Zaken (Data)</t>
  </si>
  <si>
    <t>ZDS 2.0 (API)</t>
  </si>
  <si>
    <t>Mailserver</t>
  </si>
  <si>
    <t>Klantvraag</t>
  </si>
  <si>
    <t>Proces wat de inwoner/ondernemen doorloopt om een bepaalde dienst te verkrijgen.</t>
  </si>
  <si>
    <t>Mogelijkheden om binnengekomen klantvragen af te handelen, status te wijzigen en vervolg-klantvragen uit te zetten</t>
  </si>
  <si>
    <t xml:space="preserve">Deze module is een user-interface waarin de gebruiker de agenda mogelijkheden ziet. Wordt altijd gevoed door een databestand, veelal zal dit via de filtermodule zijn. </t>
  </si>
  <si>
    <t>Verder uitwerken. 
Hoe kunnen we een technisch kader ontwikkelen waardoor een dienstverlenende partij op een uniforme manier content op MijnApp kan zetten. 
Is het handig dat er een soort content manager is waarin een dienstverlener content van een bepaald type kan aanbieden en dat dit in MijnApp wordt gepubliceerd??
Hoe komt de content in MijnApp. Voor de verschillende onderdelen, wordt vormgeving gemaakt.
Je plugt de engine in, beheert de content via de ACM administratie schermen en de ontwikkelaar kan via een API steeds de actuele content ophalen.
Contenttypes?</t>
  </si>
  <si>
    <t xml:space="preserve">Module waarmee de gebruiker eenvoudig via zijn eigen bank op een veilige manier een betaling kan doen naar een dienstverlenende partij. </t>
  </si>
  <si>
    <t>Bibliotheek klantvragen</t>
  </si>
  <si>
    <t xml:space="preserve">Bibliotheek waarin al ontwikkelde klantvragen van dienstverleners zijn opgenomen. </t>
  </si>
  <si>
    <t>Component contacten maakt het mogelijk om jouw contactpersonen/dienstverlende partijen toe te voegen/te wijzigen/te beheren.  Deze contacten kunnen gebruikt worden om bijvoorbeeld uitnodigingen binnen MijnApp te versturen, machtigingen/gemachtigden toe te kennen</t>
  </si>
  <si>
    <t>Deze module maakt het mogelijk om uit verschillende databronnen, gegevens op te halen volgens in te stellen metadata (bijvoorbeeld: locatie, babs, datum) en hierin te filteren. Bijv. Filter op datum en krijg alle locaties en babsen die beschikbaar zijn op deze datum. Of: kies datum en locatie en kijk welke Babs op welk moment beschikbaar is. De output van deze filter module kan bijvoorbeeld getoond worden in de Agenda-module maar ook als lijst.
Er kan ook gefilterd worden uit een lijst met producten en diensten (PDC) op bijvoorbeeld locatie, leverancier.</t>
  </si>
  <si>
    <t>Module om gebruikers te autoriseren voor toegang en rechten</t>
  </si>
  <si>
    <t>Betaalengine</t>
  </si>
  <si>
    <t>Gegevens delen</t>
  </si>
  <si>
    <t xml:space="preserve">Module regelt dat een gebruiker (inwoner/ondernemer) een andere partij toegang kan verlenen tot vooraf bepaalde gegevens. </t>
  </si>
  <si>
    <t>Delen klantvraag</t>
  </si>
  <si>
    <t xml:space="preserve">Middels deze component wordt het mogelijk om in een eigen klantvraag iemand anders uit te nodigen om een deel van de gegevens in te vullen/accoderen. Bijvoorbeeld bij trouwen kun je partner uitnodigen om aanvullende gegevens aan te leveren zodat je je klantvraag trouwen volledig kunt doorlopen. </t>
  </si>
  <si>
    <t>Uploadfunctie zorgt er voor dat een gebruiker objecten (foto's, documenten, filmpjes, afbeeldingen) kan uploaden</t>
  </si>
  <si>
    <t>Zoek (vind) module</t>
  </si>
  <si>
    <t xml:space="preserve">De zoek (vind) functie maakt het mogelijk dat een gebruiker door intypen van een (deel) van een woord een overzicht krijgt van resultaten uit zoekbronnen zoals faq's, life events, onderdelen van de VIND catalogus, PDC, Inhoud van App of Website welke gelinkt zijn aan dit woord. </t>
  </si>
  <si>
    <t>AR/VR</t>
  </si>
  <si>
    <t xml:space="preserve">De personalisatiemodule maakt het mogelijk voor gebruikers om hun individuele behoefte voor presentatie van de inhoud zo veel mogelijk te verwezenlijken. </t>
  </si>
  <si>
    <t xml:space="preserve">Nader te definiëren
Afhankelijk van de positionering van de smart toolbox elementen zullen er een aantal onderdelen nodig zijn voor beheer, marktplaats etc…. </t>
  </si>
  <si>
    <t>Admin &amp; Config</t>
  </si>
  <si>
    <t>Registratie van business rules (bedrijfsregels).
Bedrijfsregels (beslissingen m.b.t. contractafspraken, prijsberekeningen, kortingen, wet- en regelgeving) worden centraal vastgelegd en beschikbaar gesteld aan  systemen. Dit gebeurt door de business zélf en op een begrijpelijke en leesbare manier. Wijzigingen kunnen snel op één plek worden doorgevoerd. Het IT-landschap maakt gebruik van centraal vastgelegde beslissingen, wat zorgt voor consistentie over de gehele organisatie heen. Centraal vastgelegde beslissingen kunnen gemakkelijk en snel worden aangepast of worden uitgebreid op basis van nieuwe inzichten.</t>
  </si>
  <si>
    <t>Zaak Documenten</t>
  </si>
  <si>
    <t>Registratie van alle documenten die tijdens de klantvraag worden gecreeerd/ gedeeld en gedurenden een nader te bepalen periode, bewaard moeten blijven. Het zaaktype en de bewaar- en vernietingstermijnen zijn als metadata opgenomen.</t>
  </si>
  <si>
    <t xml:space="preserve">Product- en Dienstcatalogus bevat alle (voor de inwoner/ondernemer bij het bepalen van een geschikt product/dienst) relevante gegevens van aangeboden producten en diensten van de aangesloten dienstverlenende partijen. 
</t>
  </si>
  <si>
    <t>Voorraad beheermodule</t>
  </si>
  <si>
    <t>Component waarmee de dienstverlenende partij zijn voorraad kan beheren</t>
  </si>
  <si>
    <t>Voorraad van een bepaald product of dienst</t>
  </si>
  <si>
    <t xml:space="preserve">Itsme is een nieuwe manier om veilig bij zowel publieke als private partijen in te loggen bij verschillende online diensten. </t>
  </si>
  <si>
    <t>De component Life Events biedt de inwoner en ondernemer toegang naar informatie en zaken organiseren bij de digitale overheid. Bij een life event wordt de inwoner/ondernemer geïnformeerd over rechten en plichten, en welke zaken hij kan of moet regelen met de overheid. Hij wordt toegeleid naar meer informatie en specifieke dienstverlening op de site van de verantwoordelijke uitvoerder</t>
  </si>
  <si>
    <t xml:space="preserve">NLX is binnen het 5-lagen model van Common Ground de verbindingslaag die data kan ontsluiten naar de voorkant. </t>
  </si>
  <si>
    <t>Autorisatie component</t>
  </si>
  <si>
    <t>Voorraad prducten en diensten</t>
  </si>
  <si>
    <t>Chat</t>
  </si>
  <si>
    <t>Reken module</t>
  </si>
  <si>
    <t>Toepassing waarmee online in MijnApp berekenen gemaakt kunnen worden (optellen, aftrekken, delen, vermenigvuldigen, procenten)</t>
  </si>
  <si>
    <t>Dashboard module</t>
  </si>
  <si>
    <t>Snel en overzichtelijk relevante informatie grafisch inzien. Gebruikers kunnen    zelf op een eenvoudige manier nieuwe inzichten aanmaken</t>
  </si>
  <si>
    <t>Module om beheer over gebruikers te kunnen uitvoeren</t>
  </si>
  <si>
    <t>MijnOverheid.nl</t>
  </si>
  <si>
    <t>MijnPassen</t>
  </si>
  <si>
    <t>Module geeft de gebruiker de mogelijkheid om informatie van al zijn passen op te nemen</t>
  </si>
  <si>
    <t>Scan module</t>
  </si>
  <si>
    <t>QR scanner???</t>
  </si>
  <si>
    <t>Module dieTalkBack geeft de gebruiker gesproken feedback geeft , zodat deze zijn apparaat ook kan gebruiken zonder dat hij naar het scherm hoeft te kijken.</t>
  </si>
  <si>
    <t>Track &amp; trace</t>
  </si>
  <si>
    <t>duur (dagen)</t>
  </si>
  <si>
    <t>Dienst-verlener</t>
  </si>
  <si>
    <t>Soort - onderdeel</t>
  </si>
  <si>
    <t>Onderdeel - soort</t>
  </si>
  <si>
    <t>Module om onlinepeilingen en stemmingen te maken en de resultaten te vergaren en beheren</t>
  </si>
  <si>
    <t>Functionaliteit waarmee een gebruiker een beoordeling kan geven over de informatie, de afhandeling van vragen, de dientsverlening. Beoordelingen kunnen beheerd worden door dienstverlenende partij</t>
  </si>
  <si>
    <t>Engine om aanbevelingen en beoordelingen te registreren en beheren??</t>
  </si>
  <si>
    <t>Eenvoudige functionaliteit om statuswijzigingen van een ingediende aanvraag te tonen aan de gebruiker (zolang ZRC 2.0 nog niet in gebruik is)</t>
  </si>
  <si>
    <t>Autorisatie component (Component)</t>
  </si>
  <si>
    <t>Bibliotheek klantvragen (Component)</t>
  </si>
  <si>
    <t>Admin &amp; Config (Beheeromgeving smart toolbox)</t>
  </si>
  <si>
    <t>AR/VR (Component)</t>
  </si>
  <si>
    <t>Betaalengine (Platform engine)</t>
  </si>
  <si>
    <t>Chatbot (Platform engine)</t>
  </si>
  <si>
    <t>Dashboard module (Component)</t>
  </si>
  <si>
    <t>Delen klantvraag (Component)</t>
  </si>
  <si>
    <t>Gegevens delen (Component)</t>
  </si>
  <si>
    <t>Identiteit en toegang (Component)</t>
  </si>
  <si>
    <t>Mailserver (Platform engine)</t>
  </si>
  <si>
    <t>Personalisatie (Platform engine)</t>
  </si>
  <si>
    <t>Reken module (Component)</t>
  </si>
  <si>
    <t>Zaak Documenten (Data)</t>
  </si>
  <si>
    <t>Zoek (vind) module (Component)</t>
  </si>
  <si>
    <t>Chat (Component)</t>
  </si>
  <si>
    <t>Voorraad beheermodule (Component)</t>
  </si>
  <si>
    <t>Voorraad prducten en diensten (Data)</t>
  </si>
  <si>
    <t>MijnOverheid.nl (Landelijke voorzieningen)</t>
  </si>
  <si>
    <t>Scan module (Component)</t>
  </si>
  <si>
    <t>MijnPassen (Component)</t>
  </si>
  <si>
    <t>Track &amp; trace (Component)</t>
  </si>
  <si>
    <t>Planned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</si>
</sst>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yy;@"/>
    <numFmt numFmtId="165" formatCode="[$-413]mmm/yy;@"/>
  </numFmts>
  <fonts count="10" x14ac:knownFonts="1">
    <font>
      <sz val="11"/>
      <color theme="1"/>
      <name val="Calibri"/>
      <family val="2"/>
      <scheme val="minor"/>
    </font>
    <font>
      <b/>
      <sz val="11"/>
      <color theme="1"/>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i/>
      <sz val="11"/>
      <color theme="1"/>
      <name val="Calibri"/>
      <family val="2"/>
      <scheme val="minor"/>
    </font>
    <font>
      <i/>
      <sz val="11"/>
      <name val="Calibri"/>
      <family val="2"/>
      <scheme val="minor"/>
    </font>
    <font>
      <sz val="14"/>
      <color rgb="FFFFFFFF"/>
      <name val="Calibri"/>
      <family val="2"/>
      <scheme val="minor"/>
    </font>
    <font>
      <sz val="14"/>
      <color theme="1"/>
      <name val="Calibri"/>
      <family val="2"/>
      <scheme val="minor"/>
    </font>
    <font>
      <b/>
      <sz val="14"/>
      <color theme="1"/>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rgb="FFFF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ck">
        <color indexed="64"/>
      </right>
      <top/>
      <bottom/>
      <diagonal/>
    </border>
    <border>
      <left style="thin">
        <color indexed="64"/>
      </left>
      <right style="thick">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0" borderId="0" xfId="0" applyAlignment="1">
      <alignment wrapText="1"/>
    </xf>
    <xf numFmtId="0" fontId="1" fillId="2" borderId="1" xfId="0" applyFont="1" applyFill="1" applyBorder="1" applyAlignment="1">
      <alignment horizontal="left" vertical="top" wrapText="1"/>
    </xf>
    <xf numFmtId="0" fontId="1" fillId="3" borderId="1" xfId="0" applyFont="1" applyFill="1"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3" fillId="0" borderId="1" xfId="0" applyFont="1" applyBorder="1" applyAlignment="1">
      <alignment horizontal="left" vertical="top" wrapText="1"/>
    </xf>
    <xf numFmtId="0" fontId="1" fillId="0" borderId="0" xfId="0" applyFont="1"/>
    <xf numFmtId="0" fontId="0" fillId="0" borderId="0" xfId="0"/>
    <xf numFmtId="0" fontId="4" fillId="0" borderId="1" xfId="0" applyFont="1" applyBorder="1" applyAlignment="1">
      <alignment horizontal="left" vertical="top" wrapText="1"/>
    </xf>
    <xf numFmtId="0" fontId="4" fillId="0" borderId="1" xfId="0" applyFont="1" applyFill="1" applyBorder="1" applyAlignment="1">
      <alignment horizontal="left" vertical="top" wrapText="1"/>
    </xf>
    <xf numFmtId="0" fontId="5" fillId="0" borderId="1" xfId="0" applyFont="1" applyBorder="1" applyAlignment="1">
      <alignment horizontal="left" vertical="top" wrapText="1"/>
    </xf>
    <xf numFmtId="0" fontId="1" fillId="2" borderId="0" xfId="0" applyFont="1" applyFill="1" applyBorder="1" applyAlignment="1">
      <alignment horizontal="left" vertical="top" wrapText="1"/>
    </xf>
    <xf numFmtId="0" fontId="0" fillId="0" borderId="0" xfId="0" applyBorder="1" applyAlignment="1">
      <alignment horizontal="left" vertical="top" wrapText="1"/>
    </xf>
    <xf numFmtId="0" fontId="0" fillId="3" borderId="0" xfId="0" applyFill="1" applyBorder="1" applyAlignment="1">
      <alignment horizontal="left" vertical="top" wrapText="1"/>
    </xf>
    <xf numFmtId="0" fontId="0" fillId="0" borderId="0" xfId="0" applyFill="1" applyBorder="1" applyAlignment="1">
      <alignment horizontal="left" vertical="top" wrapText="1"/>
    </xf>
    <xf numFmtId="0" fontId="1" fillId="0" borderId="0" xfId="0" applyFont="1" applyFill="1" applyBorder="1" applyAlignment="1">
      <alignment horizontal="left" vertical="top" wrapText="1"/>
    </xf>
    <xf numFmtId="0" fontId="7" fillId="0" borderId="0" xfId="0" applyFont="1" applyAlignment="1">
      <alignment horizontal="center" vertical="center"/>
    </xf>
    <xf numFmtId="14" fontId="0" fillId="0" borderId="1" xfId="0" applyNumberFormat="1" applyBorder="1" applyAlignment="1">
      <alignment horizontal="left" vertical="top" wrapText="1"/>
    </xf>
    <xf numFmtId="164" fontId="1" fillId="2" borderId="1" xfId="0" applyNumberFormat="1" applyFont="1" applyFill="1" applyBorder="1" applyAlignment="1">
      <alignment horizontal="left" vertical="top" wrapText="1"/>
    </xf>
    <xf numFmtId="164" fontId="0" fillId="0" borderId="1" xfId="0" applyNumberFormat="1" applyBorder="1" applyAlignment="1">
      <alignment horizontal="left" vertical="top" wrapText="1"/>
    </xf>
    <xf numFmtId="164" fontId="0" fillId="0" borderId="0" xfId="0" applyNumberFormat="1" applyBorder="1" applyAlignment="1">
      <alignment horizontal="left" vertical="top" wrapText="1"/>
    </xf>
    <xf numFmtId="0" fontId="8" fillId="0" borderId="0" xfId="0" applyFont="1" applyBorder="1"/>
    <xf numFmtId="0" fontId="8" fillId="0" borderId="0" xfId="0" applyFont="1"/>
    <xf numFmtId="0" fontId="8" fillId="0" borderId="3" xfId="0" applyFont="1" applyBorder="1"/>
    <xf numFmtId="0" fontId="8" fillId="0" borderId="2" xfId="0" applyFont="1" applyBorder="1"/>
    <xf numFmtId="0" fontId="8" fillId="0" borderId="2" xfId="0" pivotButton="1" applyFont="1" applyBorder="1"/>
    <xf numFmtId="165" fontId="9" fillId="4" borderId="4" xfId="0" applyNumberFormat="1" applyFont="1" applyFill="1" applyBorder="1"/>
    <xf numFmtId="0" fontId="8" fillId="0" borderId="5" xfId="0" applyFont="1" applyBorder="1"/>
    <xf numFmtId="0" fontId="8" fillId="0" borderId="4" xfId="0" applyFont="1" applyBorder="1"/>
    <xf numFmtId="0" fontId="8" fillId="0" borderId="6" xfId="0" applyFont="1" applyBorder="1"/>
    <xf numFmtId="165" fontId="9" fillId="4" borderId="7" xfId="0" applyNumberFormat="1" applyFont="1" applyFill="1" applyBorder="1"/>
    <xf numFmtId="0" fontId="8" fillId="0" borderId="8" xfId="0" applyFont="1" applyBorder="1"/>
    <xf numFmtId="0" fontId="0" fillId="5" borderId="1" xfId="0" applyFill="1" applyBorder="1" applyAlignment="1">
      <alignment horizontal="left" vertical="top" wrapText="1"/>
    </xf>
    <xf numFmtId="0" fontId="4" fillId="5" borderId="1" xfId="0" applyFont="1" applyFill="1" applyBorder="1" applyAlignment="1">
      <alignment horizontal="left" vertical="top" wrapText="1"/>
    </xf>
    <xf numFmtId="164" fontId="0" fillId="5" borderId="1" xfId="0" applyNumberFormat="1" applyFill="1" applyBorder="1" applyAlignment="1">
      <alignment horizontal="left" vertical="top" wrapText="1"/>
    </xf>
    <xf numFmtId="0" fontId="0" fillId="5" borderId="0" xfId="0" applyFill="1" applyBorder="1" applyAlignment="1">
      <alignment horizontal="left" vertical="top" wrapText="1"/>
    </xf>
    <xf numFmtId="14" fontId="0" fillId="5" borderId="1" xfId="0" applyNumberFormat="1" applyFill="1" applyBorder="1" applyAlignment="1">
      <alignment horizontal="left" vertical="top" wrapText="1"/>
    </xf>
    <xf numFmtId="0" fontId="0" fillId="0" borderId="1" xfId="0" applyFill="1" applyBorder="1" applyAlignment="1">
      <alignment horizontal="left" vertical="top" wrapText="1"/>
    </xf>
    <xf numFmtId="164" fontId="0" fillId="0" borderId="1" xfId="0" applyNumberFormat="1" applyFill="1" applyBorder="1" applyAlignment="1">
      <alignment horizontal="left" vertical="top" wrapText="1"/>
    </xf>
    <xf numFmtId="14" fontId="0" fillId="0" borderId="1" xfId="0" applyNumberFormat="1" applyFill="1" applyBorder="1" applyAlignment="1">
      <alignment horizontal="left" vertical="top" wrapText="1"/>
    </xf>
    <xf numFmtId="164" fontId="4" fillId="0" borderId="1" xfId="0" applyNumberFormat="1" applyFont="1" applyBorder="1" applyAlignment="1">
      <alignment horizontal="left" vertical="top" wrapText="1"/>
    </xf>
    <xf numFmtId="0" fontId="4" fillId="3" borderId="1"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0" xfId="0" applyFont="1" applyBorder="1" applyAlignment="1">
      <alignment horizontal="left" vertical="top" wrapText="1"/>
    </xf>
    <xf numFmtId="0" fontId="8" fillId="0" borderId="0" xfId="0" pivotButton="1" applyFont="1"/>
    <xf numFmtId="0" fontId="8" fillId="0" borderId="0" xfId="0" applyFont="1" applyBorder="1" applyAlignment="1">
      <alignment horizontal="left"/>
    </xf>
    <xf numFmtId="14" fontId="8" fillId="0" borderId="0" xfId="0" applyNumberFormat="1" applyFont="1" applyBorder="1" applyAlignment="1">
      <alignment horizontal="left"/>
    </xf>
    <xf numFmtId="14" fontId="8" fillId="0" borderId="2" xfId="0" applyNumberFormat="1" applyFont="1" applyBorder="1" applyAlignment="1">
      <alignment horizontal="left"/>
    </xf>
    <xf numFmtId="0" fontId="8" fillId="0" borderId="0" xfId="0" applyFont="1" applyAlignment="1">
      <alignment horizontal="left"/>
    </xf>
    <xf numFmtId="0" fontId="8" fillId="0" borderId="2" xfId="0" applyFont="1" applyBorder="1" applyAlignment="1">
      <alignment horizontal="left"/>
    </xf>
    <xf numFmtId="14" fontId="8" fillId="0" borderId="0" xfId="0" applyNumberFormat="1" applyFont="1" applyAlignment="1">
      <alignment horizontal="left"/>
    </xf>
  </cellXfs>
  <cellStyles count="1">
    <cellStyle name="Standaard" xfId="0" builtinId="0"/>
  </cellStyles>
  <dxfs count="19">
    <dxf>
      <font>
        <sz val="14"/>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theme="3" tint="0.39994506668294322"/>
      </font>
      <fill>
        <patternFill>
          <bgColor theme="3" tint="0.39994506668294322"/>
        </patternFill>
      </fill>
    </dxf>
    <dxf>
      <font>
        <color theme="0"/>
      </font>
      <fill>
        <patternFill patternType="solid">
          <bgColor theme="0"/>
        </patternFill>
      </fill>
    </dxf>
    <dxf>
      <font>
        <color theme="3" tint="0.39994506668294322"/>
      </font>
      <fill>
        <patternFill>
          <bgColor theme="3" tint="0.39994506668294322"/>
        </patternFill>
      </fill>
    </dxf>
    <dxf>
      <font>
        <color theme="3" tint="0.39994506668294322"/>
      </font>
      <fill>
        <patternFill>
          <bgColor theme="3" tint="0.39994506668294322"/>
        </patternFill>
      </fill>
    </dxf>
    <dxf>
      <font>
        <color rgb="FFFFC000"/>
      </font>
      <fill>
        <patternFill>
          <bgColor rgb="FFFFC000"/>
        </patternFill>
      </fill>
    </dxf>
    <dxf>
      <font>
        <color theme="0" tint="-0.24994659260841701"/>
      </font>
      <fill>
        <patternFill>
          <bgColor theme="0" tint="-0.24994659260841701"/>
        </patternFill>
      </fill>
    </dxf>
    <dxf>
      <font>
        <color rgb="FF92D050"/>
      </font>
      <fill>
        <patternFill>
          <bgColor rgb="FF92D050"/>
        </patternFill>
      </fill>
    </dxf>
    <dxf>
      <font>
        <color theme="0" tint="-0.24994659260841701"/>
      </font>
      <fill>
        <patternFill>
          <bgColor theme="0" tint="-0.24994659260841701"/>
        </patternFill>
      </fill>
    </dxf>
    <dxf>
      <font>
        <color rgb="FF92D050"/>
      </font>
      <fill>
        <patternFill>
          <bgColor rgb="FF92D050"/>
        </patternFill>
      </fill>
    </dxf>
  </dxfs>
  <tableStyles count="0" defaultTableStyle="TableStyleMedium2" defaultPivotStyle="PivotStyleLight16"/>
  <colors>
    <mruColors>
      <color rgb="FF558ED5"/>
      <color rgb="FFD7E4BD"/>
      <color rgb="FFD9D9D9"/>
      <color rgb="FFFCD5B5"/>
      <color rgb="FFF8B964"/>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520065</xdr:colOff>
      <xdr:row>2</xdr:row>
      <xdr:rowOff>0</xdr:rowOff>
    </xdr:from>
    <xdr:to>
      <xdr:col>39</xdr:col>
      <xdr:colOff>174625</xdr:colOff>
      <xdr:row>114</xdr:row>
      <xdr:rowOff>174625</xdr:rowOff>
    </xdr:to>
    <xdr:sp macro="" textlink="">
      <xdr:nvSpPr>
        <xdr:cNvPr id="2" name="Rechthoek 1"/>
        <xdr:cNvSpPr/>
      </xdr:nvSpPr>
      <xdr:spPr>
        <a:xfrm>
          <a:off x="520065" y="381000"/>
          <a:ext cx="23181310" cy="21605875"/>
        </a:xfrm>
        <a:prstGeom prst="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nl-NL" sz="2400" b="1">
              <a:solidFill>
                <a:schemeClr val="tx2">
                  <a:lumMod val="75000"/>
                </a:schemeClr>
              </a:solidFill>
            </a:rPr>
            <a:t>Smart</a:t>
          </a:r>
          <a:r>
            <a:rPr lang="nl-NL" sz="2400" b="1" baseline="0">
              <a:solidFill>
                <a:schemeClr val="tx2">
                  <a:lumMod val="75000"/>
                </a:schemeClr>
              </a:solidFill>
            </a:rPr>
            <a:t> toolbox - MijnApp		versie  0.1	18 januari 2019	</a:t>
          </a:r>
          <a:r>
            <a:rPr lang="nl-NL" sz="2000" b="1" baseline="0">
              <a:solidFill>
                <a:schemeClr val="tx2">
                  <a:lumMod val="75000"/>
                </a:schemeClr>
              </a:solidFill>
            </a:rPr>
            <a:t>						</a:t>
          </a:r>
          <a:r>
            <a:rPr lang="nl-NL" sz="2000" b="1" baseline="0">
              <a:solidFill>
                <a:schemeClr val="tx2">
                  <a:lumMod val="60000"/>
                  <a:lumOff val="40000"/>
                </a:schemeClr>
              </a:solidFill>
            </a:rPr>
            <a:t>Beschrijving bij onderdeel: </a:t>
          </a:r>
          <a:r>
            <a:rPr lang="nl-NL" sz="1400" b="0" baseline="0">
              <a:solidFill>
                <a:schemeClr val="tx2">
                  <a:lumMod val="60000"/>
                  <a:lumOff val="40000"/>
                </a:schemeClr>
              </a:solidFill>
            </a:rPr>
            <a:t>Selecteer een blokje en gebruikt toetscombinatie "CTRL"en "w" </a:t>
          </a:r>
          <a:endParaRPr lang="nl-NL" sz="1400" b="0">
            <a:solidFill>
              <a:schemeClr val="tx2">
                <a:lumMod val="60000"/>
                <a:lumOff val="40000"/>
              </a:schemeClr>
            </a:solidFill>
          </a:endParaRPr>
        </a:p>
      </xdr:txBody>
    </xdr:sp>
    <xdr:clientData/>
  </xdr:twoCellAnchor>
  <xdr:twoCellAnchor>
    <xdr:from>
      <xdr:col>22</xdr:col>
      <xdr:colOff>231856</xdr:colOff>
      <xdr:row>94</xdr:row>
      <xdr:rowOff>176349</xdr:rowOff>
    </xdr:from>
    <xdr:to>
      <xdr:col>38</xdr:col>
      <xdr:colOff>327856</xdr:colOff>
      <xdr:row>113</xdr:row>
      <xdr:rowOff>120066</xdr:rowOff>
    </xdr:to>
    <xdr:sp macro="" textlink="">
      <xdr:nvSpPr>
        <xdr:cNvPr id="26" name="Rechthoek 25"/>
        <xdr:cNvSpPr/>
      </xdr:nvSpPr>
      <xdr:spPr>
        <a:xfrm>
          <a:off x="13643056" y="18159549"/>
          <a:ext cx="9849600" cy="3563217"/>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Landelijk voorzieningen</a:t>
          </a:r>
        </a:p>
      </xdr:txBody>
    </xdr:sp>
    <xdr:clientData/>
  </xdr:twoCellAnchor>
  <xdr:twoCellAnchor>
    <xdr:from>
      <xdr:col>25</xdr:col>
      <xdr:colOff>481685</xdr:colOff>
      <xdr:row>97</xdr:row>
      <xdr:rowOff>120212</xdr:rowOff>
    </xdr:from>
    <xdr:to>
      <xdr:col>28</xdr:col>
      <xdr:colOff>89389</xdr:colOff>
      <xdr:row>101</xdr:row>
      <xdr:rowOff>87111</xdr:rowOff>
    </xdr:to>
    <xdr:sp macro="" textlink="">
      <xdr:nvSpPr>
        <xdr:cNvPr id="14" name="Rond hoek zelfde zijde rechthoek 13"/>
        <xdr:cNvSpPr/>
      </xdr:nvSpPr>
      <xdr:spPr>
        <a:xfrm>
          <a:off x="15721685" y="18674912"/>
          <a:ext cx="1436504" cy="72889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Life events</a:t>
          </a:r>
        </a:p>
      </xdr:txBody>
    </xdr:sp>
    <xdr:clientData/>
  </xdr:twoCellAnchor>
  <xdr:twoCellAnchor>
    <xdr:from>
      <xdr:col>22</xdr:col>
      <xdr:colOff>482175</xdr:colOff>
      <xdr:row>102</xdr:row>
      <xdr:rowOff>162326</xdr:rowOff>
    </xdr:from>
    <xdr:to>
      <xdr:col>25</xdr:col>
      <xdr:colOff>89880</xdr:colOff>
      <xdr:row>106</xdr:row>
      <xdr:rowOff>137245</xdr:rowOff>
    </xdr:to>
    <xdr:sp macro="" textlink="">
      <xdr:nvSpPr>
        <xdr:cNvPr id="36" name="Rond hoek zelfde zijde rechthoek 35"/>
        <xdr:cNvSpPr/>
      </xdr:nvSpPr>
      <xdr:spPr>
        <a:xfrm>
          <a:off x="13893375" y="19669526"/>
          <a:ext cx="1436505"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Itsme</a:t>
          </a:r>
        </a:p>
      </xdr:txBody>
    </xdr:sp>
    <xdr:clientData/>
  </xdr:twoCellAnchor>
  <xdr:twoCellAnchor>
    <xdr:from>
      <xdr:col>22</xdr:col>
      <xdr:colOff>482175</xdr:colOff>
      <xdr:row>107</xdr:row>
      <xdr:rowOff>121867</xdr:rowOff>
    </xdr:from>
    <xdr:to>
      <xdr:col>25</xdr:col>
      <xdr:colOff>89880</xdr:colOff>
      <xdr:row>111</xdr:row>
      <xdr:rowOff>96786</xdr:rowOff>
    </xdr:to>
    <xdr:sp macro="" textlink="">
      <xdr:nvSpPr>
        <xdr:cNvPr id="37" name="Rond hoek zelfde zijde rechthoek 36"/>
        <xdr:cNvSpPr/>
      </xdr:nvSpPr>
      <xdr:spPr>
        <a:xfrm>
          <a:off x="13893375" y="20581567"/>
          <a:ext cx="1436505"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eID</a:t>
          </a:r>
        </a:p>
      </xdr:txBody>
    </xdr:sp>
    <xdr:clientData/>
  </xdr:twoCellAnchor>
  <xdr:twoCellAnchor>
    <xdr:from>
      <xdr:col>22</xdr:col>
      <xdr:colOff>482175</xdr:colOff>
      <xdr:row>97</xdr:row>
      <xdr:rowOff>120212</xdr:rowOff>
    </xdr:from>
    <xdr:to>
      <xdr:col>25</xdr:col>
      <xdr:colOff>89880</xdr:colOff>
      <xdr:row>101</xdr:row>
      <xdr:rowOff>87111</xdr:rowOff>
    </xdr:to>
    <xdr:sp macro="" textlink="">
      <xdr:nvSpPr>
        <xdr:cNvPr id="46" name="Rond hoek zelfde zijde rechthoek 45"/>
        <xdr:cNvSpPr/>
      </xdr:nvSpPr>
      <xdr:spPr>
        <a:xfrm>
          <a:off x="13893375" y="18674912"/>
          <a:ext cx="1436505" cy="728899"/>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DigiD</a:t>
          </a:r>
        </a:p>
      </xdr:txBody>
    </xdr:sp>
    <xdr:clientData/>
  </xdr:twoCellAnchor>
  <xdr:twoCellAnchor>
    <xdr:from>
      <xdr:col>28</xdr:col>
      <xdr:colOff>481195</xdr:colOff>
      <xdr:row>102</xdr:row>
      <xdr:rowOff>162326</xdr:rowOff>
    </xdr:from>
    <xdr:to>
      <xdr:col>31</xdr:col>
      <xdr:colOff>88900</xdr:colOff>
      <xdr:row>106</xdr:row>
      <xdr:rowOff>137245</xdr:rowOff>
    </xdr:to>
    <xdr:sp macro="" textlink="">
      <xdr:nvSpPr>
        <xdr:cNvPr id="48" name="Rond hoek zelfde zijde rechthoek 47"/>
        <xdr:cNvSpPr/>
      </xdr:nvSpPr>
      <xdr:spPr>
        <a:xfrm>
          <a:off x="17549995" y="19669526"/>
          <a:ext cx="1436505" cy="736919"/>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eHerkenning</a:t>
          </a:r>
        </a:p>
      </xdr:txBody>
    </xdr:sp>
    <xdr:clientData/>
  </xdr:twoCellAnchor>
  <xdr:twoCellAnchor>
    <xdr:from>
      <xdr:col>28</xdr:col>
      <xdr:colOff>481195</xdr:colOff>
      <xdr:row>97</xdr:row>
      <xdr:rowOff>120212</xdr:rowOff>
    </xdr:from>
    <xdr:to>
      <xdr:col>31</xdr:col>
      <xdr:colOff>88900</xdr:colOff>
      <xdr:row>101</xdr:row>
      <xdr:rowOff>87111</xdr:rowOff>
    </xdr:to>
    <xdr:sp macro="" textlink="">
      <xdr:nvSpPr>
        <xdr:cNvPr id="51" name="Rond hoek zelfde zijde rechthoek 50"/>
        <xdr:cNvSpPr/>
      </xdr:nvSpPr>
      <xdr:spPr>
        <a:xfrm>
          <a:off x="17549995" y="18674912"/>
          <a:ext cx="1436505" cy="72889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Vind Catalogus</a:t>
          </a:r>
        </a:p>
      </xdr:txBody>
    </xdr:sp>
    <xdr:clientData/>
  </xdr:twoCellAnchor>
  <xdr:twoCellAnchor>
    <xdr:from>
      <xdr:col>25</xdr:col>
      <xdr:colOff>481685</xdr:colOff>
      <xdr:row>102</xdr:row>
      <xdr:rowOff>162326</xdr:rowOff>
    </xdr:from>
    <xdr:to>
      <xdr:col>28</xdr:col>
      <xdr:colOff>89389</xdr:colOff>
      <xdr:row>106</xdr:row>
      <xdr:rowOff>137245</xdr:rowOff>
    </xdr:to>
    <xdr:sp macro="" textlink="">
      <xdr:nvSpPr>
        <xdr:cNvPr id="56" name="Rond hoek zelfde zijde rechthoek 55"/>
        <xdr:cNvSpPr/>
      </xdr:nvSpPr>
      <xdr:spPr>
        <a:xfrm>
          <a:off x="15721685" y="19669526"/>
          <a:ext cx="1436504" cy="73691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NLX</a:t>
          </a:r>
        </a:p>
      </xdr:txBody>
    </xdr:sp>
    <xdr:clientData/>
  </xdr:twoCellAnchor>
  <xdr:twoCellAnchor>
    <xdr:from>
      <xdr:col>1</xdr:col>
      <xdr:colOff>154006</xdr:colOff>
      <xdr:row>90</xdr:row>
      <xdr:rowOff>0</xdr:rowOff>
    </xdr:from>
    <xdr:to>
      <xdr:col>21</xdr:col>
      <xdr:colOff>562006</xdr:colOff>
      <xdr:row>113</xdr:row>
      <xdr:rowOff>111785</xdr:rowOff>
    </xdr:to>
    <xdr:sp macro="" textlink="">
      <xdr:nvSpPr>
        <xdr:cNvPr id="25" name="Rechthoek 24"/>
        <xdr:cNvSpPr/>
      </xdr:nvSpPr>
      <xdr:spPr>
        <a:xfrm>
          <a:off x="763606" y="17145000"/>
          <a:ext cx="12600000" cy="4493285"/>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Data</a:t>
          </a:r>
        </a:p>
      </xdr:txBody>
    </xdr:sp>
    <xdr:clientData/>
  </xdr:twoCellAnchor>
  <xdr:twoCellAnchor>
    <xdr:from>
      <xdr:col>1</xdr:col>
      <xdr:colOff>467129</xdr:colOff>
      <xdr:row>97</xdr:row>
      <xdr:rowOff>113439</xdr:rowOff>
    </xdr:from>
    <xdr:to>
      <xdr:col>4</xdr:col>
      <xdr:colOff>79722</xdr:colOff>
      <xdr:row>101</xdr:row>
      <xdr:rowOff>87111</xdr:rowOff>
    </xdr:to>
    <xdr:sp macro="" textlink="">
      <xdr:nvSpPr>
        <xdr:cNvPr id="8" name="Rond hoek zelfde zijde rechthoek 7"/>
        <xdr:cNvSpPr/>
      </xdr:nvSpPr>
      <xdr:spPr>
        <a:xfrm>
          <a:off x="1076729" y="17360039"/>
          <a:ext cx="1441393" cy="684872"/>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BRP</a:t>
          </a:r>
        </a:p>
      </xdr:txBody>
    </xdr:sp>
    <xdr:clientData/>
  </xdr:twoCellAnchor>
  <xdr:twoCellAnchor>
    <xdr:from>
      <xdr:col>18</xdr:col>
      <xdr:colOff>178774</xdr:colOff>
      <xdr:row>107</xdr:row>
      <xdr:rowOff>76401</xdr:rowOff>
    </xdr:from>
    <xdr:to>
      <xdr:col>20</xdr:col>
      <xdr:colOff>400967</xdr:colOff>
      <xdr:row>111</xdr:row>
      <xdr:rowOff>50073</xdr:rowOff>
    </xdr:to>
    <xdr:sp macro="" textlink="">
      <xdr:nvSpPr>
        <xdr:cNvPr id="10" name="Rond hoek zelfde zijde rechthoek 9"/>
        <xdr:cNvSpPr/>
      </xdr:nvSpPr>
      <xdr:spPr>
        <a:xfrm>
          <a:off x="11056981" y="19757022"/>
          <a:ext cx="1430883" cy="70939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Business rules </a:t>
          </a:r>
        </a:p>
      </xdr:txBody>
    </xdr:sp>
    <xdr:clientData/>
  </xdr:twoCellAnchor>
  <xdr:twoCellAnchor>
    <xdr:from>
      <xdr:col>4</xdr:col>
      <xdr:colOff>275906</xdr:colOff>
      <xdr:row>97</xdr:row>
      <xdr:rowOff>113439</xdr:rowOff>
    </xdr:from>
    <xdr:to>
      <xdr:col>6</xdr:col>
      <xdr:colOff>493223</xdr:colOff>
      <xdr:row>101</xdr:row>
      <xdr:rowOff>87111</xdr:rowOff>
    </xdr:to>
    <xdr:sp macro="" textlink="">
      <xdr:nvSpPr>
        <xdr:cNvPr id="20" name="Rond hoek zelfde zijde rechthoek 19"/>
        <xdr:cNvSpPr/>
      </xdr:nvSpPr>
      <xdr:spPr>
        <a:xfrm>
          <a:off x="2714306" y="17360039"/>
          <a:ext cx="1436517" cy="68487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PDC</a:t>
          </a:r>
        </a:p>
      </xdr:txBody>
    </xdr:sp>
    <xdr:clientData/>
  </xdr:twoCellAnchor>
  <xdr:twoCellAnchor>
    <xdr:from>
      <xdr:col>9</xdr:col>
      <xdr:colOff>554842</xdr:colOff>
      <xdr:row>97</xdr:row>
      <xdr:rowOff>113437</xdr:rowOff>
    </xdr:from>
    <xdr:to>
      <xdr:col>12</xdr:col>
      <xdr:colOff>167435</xdr:colOff>
      <xdr:row>101</xdr:row>
      <xdr:rowOff>87111</xdr:rowOff>
    </xdr:to>
    <xdr:sp macro="" textlink="">
      <xdr:nvSpPr>
        <xdr:cNvPr id="29" name="Rond hoek zelfde zijde rechthoek 28"/>
        <xdr:cNvSpPr/>
      </xdr:nvSpPr>
      <xdr:spPr>
        <a:xfrm>
          <a:off x="6041242" y="17360037"/>
          <a:ext cx="1441393" cy="684874"/>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BRI</a:t>
          </a:r>
        </a:p>
      </xdr:txBody>
    </xdr:sp>
    <xdr:clientData/>
  </xdr:twoCellAnchor>
  <xdr:twoCellAnchor>
    <xdr:from>
      <xdr:col>7</xdr:col>
      <xdr:colOff>54473</xdr:colOff>
      <xdr:row>92</xdr:row>
      <xdr:rowOff>78984</xdr:rowOff>
    </xdr:from>
    <xdr:to>
      <xdr:col>9</xdr:col>
      <xdr:colOff>276666</xdr:colOff>
      <xdr:row>96</xdr:row>
      <xdr:rowOff>52658</xdr:rowOff>
    </xdr:to>
    <xdr:sp macro="" textlink="">
      <xdr:nvSpPr>
        <xdr:cNvPr id="41" name="Rond hoek zelfde zijde rechthoek 40"/>
        <xdr:cNvSpPr/>
      </xdr:nvSpPr>
      <xdr:spPr>
        <a:xfrm>
          <a:off x="4284887" y="17000639"/>
          <a:ext cx="1430882" cy="709398"/>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Registratie </a:t>
          </a:r>
        </a:p>
        <a:p>
          <a:pPr marL="0" indent="0" algn="ctr"/>
          <a:r>
            <a:rPr lang="nl-NL" sz="1400">
              <a:solidFill>
                <a:schemeClr val="dk1"/>
              </a:solidFill>
              <a:latin typeface="+mn-lt"/>
              <a:ea typeface="+mn-ea"/>
              <a:cs typeface="+mn-cs"/>
            </a:rPr>
            <a:t>Babsen</a:t>
          </a:r>
        </a:p>
      </xdr:txBody>
    </xdr:sp>
    <xdr:clientData/>
  </xdr:twoCellAnchor>
  <xdr:twoCellAnchor>
    <xdr:from>
      <xdr:col>4</xdr:col>
      <xdr:colOff>275906</xdr:colOff>
      <xdr:row>92</xdr:row>
      <xdr:rowOff>78984</xdr:rowOff>
    </xdr:from>
    <xdr:to>
      <xdr:col>6</xdr:col>
      <xdr:colOff>493223</xdr:colOff>
      <xdr:row>96</xdr:row>
      <xdr:rowOff>52658</xdr:rowOff>
    </xdr:to>
    <xdr:sp macro="" textlink="">
      <xdr:nvSpPr>
        <xdr:cNvPr id="43" name="Rond hoek zelfde zijde rechthoek 42"/>
        <xdr:cNvSpPr/>
      </xdr:nvSpPr>
      <xdr:spPr>
        <a:xfrm>
          <a:off x="2693285" y="17000639"/>
          <a:ext cx="1426007" cy="709398"/>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Registratie trouwlocaties</a:t>
          </a:r>
        </a:p>
      </xdr:txBody>
    </xdr:sp>
    <xdr:clientData/>
  </xdr:twoCellAnchor>
  <xdr:twoCellAnchor>
    <xdr:from>
      <xdr:col>12</xdr:col>
      <xdr:colOff>434677</xdr:colOff>
      <xdr:row>92</xdr:row>
      <xdr:rowOff>78984</xdr:rowOff>
    </xdr:from>
    <xdr:to>
      <xdr:col>15</xdr:col>
      <xdr:colOff>47270</xdr:colOff>
      <xdr:row>96</xdr:row>
      <xdr:rowOff>52658</xdr:rowOff>
    </xdr:to>
    <xdr:sp macro="" textlink="">
      <xdr:nvSpPr>
        <xdr:cNvPr id="71" name="Rond hoek zelfde zijde rechthoek 70"/>
        <xdr:cNvSpPr/>
      </xdr:nvSpPr>
      <xdr:spPr>
        <a:xfrm>
          <a:off x="7686815" y="17000639"/>
          <a:ext cx="1425627"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BAG</a:t>
          </a:r>
        </a:p>
      </xdr:txBody>
    </xdr:sp>
    <xdr:clientData/>
  </xdr:twoCellAnchor>
  <xdr:twoCellAnchor>
    <xdr:from>
      <xdr:col>12</xdr:col>
      <xdr:colOff>434677</xdr:colOff>
      <xdr:row>97</xdr:row>
      <xdr:rowOff>113439</xdr:rowOff>
    </xdr:from>
    <xdr:to>
      <xdr:col>15</xdr:col>
      <xdr:colOff>47270</xdr:colOff>
      <xdr:row>101</xdr:row>
      <xdr:rowOff>87111</xdr:rowOff>
    </xdr:to>
    <xdr:sp macro="" textlink="">
      <xdr:nvSpPr>
        <xdr:cNvPr id="72" name="Rond hoek zelfde zijde rechthoek 71"/>
        <xdr:cNvSpPr/>
      </xdr:nvSpPr>
      <xdr:spPr>
        <a:xfrm>
          <a:off x="7749877" y="17360039"/>
          <a:ext cx="1441393" cy="684872"/>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NHR</a:t>
          </a:r>
        </a:p>
      </xdr:txBody>
    </xdr:sp>
    <xdr:clientData/>
  </xdr:twoCellAnchor>
  <xdr:twoCellAnchor>
    <xdr:from>
      <xdr:col>18</xdr:col>
      <xdr:colOff>178774</xdr:colOff>
      <xdr:row>97</xdr:row>
      <xdr:rowOff>113437</xdr:rowOff>
    </xdr:from>
    <xdr:to>
      <xdr:col>20</xdr:col>
      <xdr:colOff>400967</xdr:colOff>
      <xdr:row>101</xdr:row>
      <xdr:rowOff>87111</xdr:rowOff>
    </xdr:to>
    <xdr:sp macro="" textlink="">
      <xdr:nvSpPr>
        <xdr:cNvPr id="73" name="Rond hoek zelfde zijde rechthoek 72"/>
        <xdr:cNvSpPr/>
      </xdr:nvSpPr>
      <xdr:spPr>
        <a:xfrm>
          <a:off x="11151574" y="17360037"/>
          <a:ext cx="1441393" cy="684874"/>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BRK</a:t>
          </a:r>
        </a:p>
      </xdr:txBody>
    </xdr:sp>
    <xdr:clientData/>
  </xdr:twoCellAnchor>
  <xdr:twoCellAnchor>
    <xdr:from>
      <xdr:col>18</xdr:col>
      <xdr:colOff>178774</xdr:colOff>
      <xdr:row>92</xdr:row>
      <xdr:rowOff>78984</xdr:rowOff>
    </xdr:from>
    <xdr:to>
      <xdr:col>20</xdr:col>
      <xdr:colOff>400967</xdr:colOff>
      <xdr:row>96</xdr:row>
      <xdr:rowOff>52658</xdr:rowOff>
    </xdr:to>
    <xdr:sp macro="" textlink="">
      <xdr:nvSpPr>
        <xdr:cNvPr id="74" name="Rond hoek zelfde zijde rechthoek 73"/>
        <xdr:cNvSpPr/>
      </xdr:nvSpPr>
      <xdr:spPr>
        <a:xfrm>
          <a:off x="11056981" y="17000639"/>
          <a:ext cx="1430883"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BRT</a:t>
          </a:r>
        </a:p>
      </xdr:txBody>
    </xdr:sp>
    <xdr:clientData/>
  </xdr:twoCellAnchor>
  <xdr:twoCellAnchor>
    <xdr:from>
      <xdr:col>15</xdr:col>
      <xdr:colOff>304800</xdr:colOff>
      <xdr:row>92</xdr:row>
      <xdr:rowOff>78984</xdr:rowOff>
    </xdr:from>
    <xdr:to>
      <xdr:col>17</xdr:col>
      <xdr:colOff>522117</xdr:colOff>
      <xdr:row>96</xdr:row>
      <xdr:rowOff>52658</xdr:rowOff>
    </xdr:to>
    <xdr:sp macro="" textlink="">
      <xdr:nvSpPr>
        <xdr:cNvPr id="75" name="Rond hoek zelfde zijde rechthoek 74"/>
        <xdr:cNvSpPr/>
      </xdr:nvSpPr>
      <xdr:spPr>
        <a:xfrm>
          <a:off x="9369972" y="17000639"/>
          <a:ext cx="1426007"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BGT</a:t>
          </a:r>
        </a:p>
      </xdr:txBody>
    </xdr:sp>
    <xdr:clientData/>
  </xdr:twoCellAnchor>
  <xdr:twoCellAnchor>
    <xdr:from>
      <xdr:col>15</xdr:col>
      <xdr:colOff>304800</xdr:colOff>
      <xdr:row>97</xdr:row>
      <xdr:rowOff>111900</xdr:rowOff>
    </xdr:from>
    <xdr:to>
      <xdr:col>17</xdr:col>
      <xdr:colOff>522117</xdr:colOff>
      <xdr:row>101</xdr:row>
      <xdr:rowOff>87111</xdr:rowOff>
    </xdr:to>
    <xdr:sp macro="" textlink="">
      <xdr:nvSpPr>
        <xdr:cNvPr id="76" name="Rond hoek zelfde zijde rechthoek 75"/>
        <xdr:cNvSpPr/>
      </xdr:nvSpPr>
      <xdr:spPr>
        <a:xfrm>
          <a:off x="9448800" y="17358500"/>
          <a:ext cx="1436517" cy="686411"/>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BRV</a:t>
          </a:r>
        </a:p>
      </xdr:txBody>
    </xdr:sp>
    <xdr:clientData/>
  </xdr:twoCellAnchor>
  <xdr:twoCellAnchor>
    <xdr:from>
      <xdr:col>9</xdr:col>
      <xdr:colOff>554842</xdr:colOff>
      <xdr:row>92</xdr:row>
      <xdr:rowOff>78984</xdr:rowOff>
    </xdr:from>
    <xdr:to>
      <xdr:col>12</xdr:col>
      <xdr:colOff>167435</xdr:colOff>
      <xdr:row>96</xdr:row>
      <xdr:rowOff>52658</xdr:rowOff>
    </xdr:to>
    <xdr:sp macro="" textlink="">
      <xdr:nvSpPr>
        <xdr:cNvPr id="77" name="Rond hoek zelfde zijde rechthoek 76"/>
        <xdr:cNvSpPr/>
      </xdr:nvSpPr>
      <xdr:spPr>
        <a:xfrm>
          <a:off x="5993945" y="17000639"/>
          <a:ext cx="1425628"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WOZ</a:t>
          </a:r>
        </a:p>
      </xdr:txBody>
    </xdr:sp>
    <xdr:clientData/>
  </xdr:twoCellAnchor>
  <xdr:twoCellAnchor>
    <xdr:from>
      <xdr:col>4</xdr:col>
      <xdr:colOff>275906</xdr:colOff>
      <xdr:row>107</xdr:row>
      <xdr:rowOff>76430</xdr:rowOff>
    </xdr:from>
    <xdr:to>
      <xdr:col>6</xdr:col>
      <xdr:colOff>493223</xdr:colOff>
      <xdr:row>111</xdr:row>
      <xdr:rowOff>56430</xdr:rowOff>
    </xdr:to>
    <xdr:sp macro="" textlink="">
      <xdr:nvSpPr>
        <xdr:cNvPr id="79" name="Rond hoek zelfde zijde rechthoek 78"/>
        <xdr:cNvSpPr/>
      </xdr:nvSpPr>
      <xdr:spPr>
        <a:xfrm>
          <a:off x="2714306" y="19202630"/>
          <a:ext cx="1436517" cy="6912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Zaken</a:t>
          </a:r>
        </a:p>
      </xdr:txBody>
    </xdr:sp>
    <xdr:clientData/>
  </xdr:twoCellAnchor>
  <xdr:twoCellAnchor>
    <xdr:from>
      <xdr:col>1</xdr:col>
      <xdr:colOff>467129</xdr:colOff>
      <xdr:row>107</xdr:row>
      <xdr:rowOff>76401</xdr:rowOff>
    </xdr:from>
    <xdr:to>
      <xdr:col>4</xdr:col>
      <xdr:colOff>79722</xdr:colOff>
      <xdr:row>111</xdr:row>
      <xdr:rowOff>50073</xdr:rowOff>
    </xdr:to>
    <xdr:sp macro="" textlink="">
      <xdr:nvSpPr>
        <xdr:cNvPr id="93" name="Rond hoek zelfde zijde rechthoek 92"/>
        <xdr:cNvSpPr/>
      </xdr:nvSpPr>
      <xdr:spPr>
        <a:xfrm>
          <a:off x="1071474" y="19757022"/>
          <a:ext cx="1425627" cy="70939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Zaaktypen</a:t>
          </a:r>
        </a:p>
      </xdr:txBody>
    </xdr:sp>
    <xdr:clientData/>
  </xdr:twoCellAnchor>
  <xdr:twoCellAnchor>
    <xdr:from>
      <xdr:col>9</xdr:col>
      <xdr:colOff>554842</xdr:colOff>
      <xdr:row>107</xdr:row>
      <xdr:rowOff>76401</xdr:rowOff>
    </xdr:from>
    <xdr:to>
      <xdr:col>12</xdr:col>
      <xdr:colOff>167435</xdr:colOff>
      <xdr:row>111</xdr:row>
      <xdr:rowOff>56401</xdr:rowOff>
    </xdr:to>
    <xdr:sp macro="" textlink="">
      <xdr:nvSpPr>
        <xdr:cNvPr id="94" name="Rond hoek zelfde zijde rechthoek 93"/>
        <xdr:cNvSpPr/>
      </xdr:nvSpPr>
      <xdr:spPr>
        <a:xfrm>
          <a:off x="6041242" y="19202601"/>
          <a:ext cx="1441393" cy="6912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Besluiten</a:t>
          </a:r>
        </a:p>
        <a:p>
          <a:pPr marL="0" indent="0" algn="ctr"/>
          <a:r>
            <a:rPr lang="nl-NL" sz="1400">
              <a:solidFill>
                <a:schemeClr val="dk1"/>
              </a:solidFill>
              <a:latin typeface="+mn-lt"/>
              <a:ea typeface="+mn-ea"/>
              <a:cs typeface="+mn-cs"/>
            </a:rPr>
            <a:t>(Beschikkingen)</a:t>
          </a:r>
        </a:p>
      </xdr:txBody>
    </xdr:sp>
    <xdr:clientData/>
  </xdr:twoCellAnchor>
  <xdr:twoCellAnchor>
    <xdr:from>
      <xdr:col>1</xdr:col>
      <xdr:colOff>467129</xdr:colOff>
      <xdr:row>92</xdr:row>
      <xdr:rowOff>78984</xdr:rowOff>
    </xdr:from>
    <xdr:to>
      <xdr:col>4</xdr:col>
      <xdr:colOff>79722</xdr:colOff>
      <xdr:row>96</xdr:row>
      <xdr:rowOff>52658</xdr:rowOff>
    </xdr:to>
    <xdr:sp macro="" textlink="">
      <xdr:nvSpPr>
        <xdr:cNvPr id="98" name="Rond hoek zelfde zijde rechthoek 97"/>
        <xdr:cNvSpPr/>
      </xdr:nvSpPr>
      <xdr:spPr>
        <a:xfrm>
          <a:off x="1071474" y="17000639"/>
          <a:ext cx="1425627" cy="709398"/>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GBA</a:t>
          </a:r>
        </a:p>
      </xdr:txBody>
    </xdr:sp>
    <xdr:clientData/>
  </xdr:twoCellAnchor>
  <xdr:twoCellAnchor>
    <xdr:from>
      <xdr:col>7</xdr:col>
      <xdr:colOff>54473</xdr:colOff>
      <xdr:row>107</xdr:row>
      <xdr:rowOff>76401</xdr:rowOff>
    </xdr:from>
    <xdr:to>
      <xdr:col>9</xdr:col>
      <xdr:colOff>276666</xdr:colOff>
      <xdr:row>111</xdr:row>
      <xdr:rowOff>56401</xdr:rowOff>
    </xdr:to>
    <xdr:sp macro="" textlink="">
      <xdr:nvSpPr>
        <xdr:cNvPr id="141" name="Rond hoek zelfde zijde rechthoek 140"/>
        <xdr:cNvSpPr/>
      </xdr:nvSpPr>
      <xdr:spPr>
        <a:xfrm>
          <a:off x="4321673" y="19202601"/>
          <a:ext cx="1441393" cy="6912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Zaak Documenten</a:t>
          </a:r>
        </a:p>
      </xdr:txBody>
    </xdr:sp>
    <xdr:clientData/>
  </xdr:twoCellAnchor>
  <xdr:twoCellAnchor>
    <xdr:from>
      <xdr:col>1</xdr:col>
      <xdr:colOff>121746</xdr:colOff>
      <xdr:row>5</xdr:row>
      <xdr:rowOff>78377</xdr:rowOff>
    </xdr:from>
    <xdr:to>
      <xdr:col>38</xdr:col>
      <xdr:colOff>228600</xdr:colOff>
      <xdr:row>17</xdr:row>
      <xdr:rowOff>125403</xdr:rowOff>
    </xdr:to>
    <xdr:sp macro="" textlink="">
      <xdr:nvSpPr>
        <xdr:cNvPr id="44" name="Rechthoek 43"/>
        <xdr:cNvSpPr/>
      </xdr:nvSpPr>
      <xdr:spPr>
        <a:xfrm>
          <a:off x="731346" y="1030877"/>
          <a:ext cx="22662054" cy="2409226"/>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Klantvragen</a:t>
          </a:r>
        </a:p>
      </xdr:txBody>
    </xdr:sp>
    <xdr:clientData/>
  </xdr:twoCellAnchor>
  <xdr:twoCellAnchor>
    <xdr:from>
      <xdr:col>1</xdr:col>
      <xdr:colOff>434882</xdr:colOff>
      <xdr:row>7</xdr:row>
      <xdr:rowOff>157654</xdr:rowOff>
    </xdr:from>
    <xdr:to>
      <xdr:col>4</xdr:col>
      <xdr:colOff>47668</xdr:colOff>
      <xdr:row>11</xdr:row>
      <xdr:rowOff>131251</xdr:rowOff>
    </xdr:to>
    <xdr:sp macro="" textlink="">
      <xdr:nvSpPr>
        <xdr:cNvPr id="45" name="Rond hoek zelfde zijde rechthoek 44"/>
        <xdr:cNvSpPr/>
      </xdr:nvSpPr>
      <xdr:spPr>
        <a:xfrm>
          <a:off x="1039227" y="1445171"/>
          <a:ext cx="1425820"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Trouwen</a:t>
          </a:r>
        </a:p>
      </xdr:txBody>
    </xdr:sp>
    <xdr:clientData/>
  </xdr:twoCellAnchor>
  <xdr:twoCellAnchor>
    <xdr:from>
      <xdr:col>1</xdr:col>
      <xdr:colOff>434882</xdr:colOff>
      <xdr:row>12</xdr:row>
      <xdr:rowOff>142600</xdr:rowOff>
    </xdr:from>
    <xdr:to>
      <xdr:col>4</xdr:col>
      <xdr:colOff>47668</xdr:colOff>
      <xdr:row>16</xdr:row>
      <xdr:rowOff>116196</xdr:rowOff>
    </xdr:to>
    <xdr:sp macro="" textlink="">
      <xdr:nvSpPr>
        <xdr:cNvPr id="90" name="Rond hoek zelfde zijde rechthoek 89"/>
        <xdr:cNvSpPr/>
      </xdr:nvSpPr>
      <xdr:spPr>
        <a:xfrm>
          <a:off x="1039227" y="2349772"/>
          <a:ext cx="1425820"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algn="ctr"/>
          <a:r>
            <a:rPr lang="nl-NL" sz="1400"/>
            <a:t>Verhuizen</a:t>
          </a:r>
        </a:p>
      </xdr:txBody>
    </xdr:sp>
    <xdr:clientData/>
  </xdr:twoCellAnchor>
  <xdr:twoCellAnchor>
    <xdr:from>
      <xdr:col>4</xdr:col>
      <xdr:colOff>243878</xdr:colOff>
      <xdr:row>7</xdr:row>
      <xdr:rowOff>157654</xdr:rowOff>
    </xdr:from>
    <xdr:to>
      <xdr:col>6</xdr:col>
      <xdr:colOff>461387</xdr:colOff>
      <xdr:row>11</xdr:row>
      <xdr:rowOff>131251</xdr:rowOff>
    </xdr:to>
    <xdr:sp macro="" textlink="">
      <xdr:nvSpPr>
        <xdr:cNvPr id="115" name="Rond hoek zelfde zijde rechthoek 114"/>
        <xdr:cNvSpPr/>
      </xdr:nvSpPr>
      <xdr:spPr>
        <a:xfrm>
          <a:off x="2661257" y="1445171"/>
          <a:ext cx="1426199"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Ondernemen</a:t>
          </a:r>
        </a:p>
      </xdr:txBody>
    </xdr:sp>
    <xdr:clientData/>
  </xdr:twoCellAnchor>
  <xdr:twoCellAnchor>
    <xdr:from>
      <xdr:col>7</xdr:col>
      <xdr:colOff>22660</xdr:colOff>
      <xdr:row>7</xdr:row>
      <xdr:rowOff>157654</xdr:rowOff>
    </xdr:from>
    <xdr:to>
      <xdr:col>9</xdr:col>
      <xdr:colOff>245046</xdr:colOff>
      <xdr:row>11</xdr:row>
      <xdr:rowOff>131251</xdr:rowOff>
    </xdr:to>
    <xdr:sp macro="" textlink="">
      <xdr:nvSpPr>
        <xdr:cNvPr id="116" name="Rond hoek zelfde zijde rechthoek 115"/>
        <xdr:cNvSpPr/>
      </xdr:nvSpPr>
      <xdr:spPr>
        <a:xfrm>
          <a:off x="4253074" y="1445171"/>
          <a:ext cx="1431075"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Idee</a:t>
          </a:r>
        </a:p>
      </xdr:txBody>
    </xdr:sp>
    <xdr:clientData/>
  </xdr:twoCellAnchor>
  <xdr:twoCellAnchor>
    <xdr:from>
      <xdr:col>9</xdr:col>
      <xdr:colOff>523259</xdr:colOff>
      <xdr:row>7</xdr:row>
      <xdr:rowOff>157654</xdr:rowOff>
    </xdr:from>
    <xdr:to>
      <xdr:col>12</xdr:col>
      <xdr:colOff>136045</xdr:colOff>
      <xdr:row>11</xdr:row>
      <xdr:rowOff>131251</xdr:rowOff>
    </xdr:to>
    <xdr:sp macro="" textlink="">
      <xdr:nvSpPr>
        <xdr:cNvPr id="117" name="Rond hoek zelfde zijde rechthoek 116"/>
        <xdr:cNvSpPr/>
      </xdr:nvSpPr>
      <xdr:spPr>
        <a:xfrm>
          <a:off x="5962362" y="1445171"/>
          <a:ext cx="1425821"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Parkeren</a:t>
          </a:r>
        </a:p>
      </xdr:txBody>
    </xdr:sp>
    <xdr:clientData/>
  </xdr:twoCellAnchor>
  <xdr:twoCellAnchor>
    <xdr:from>
      <xdr:col>18</xdr:col>
      <xdr:colOff>178581</xdr:colOff>
      <xdr:row>7</xdr:row>
      <xdr:rowOff>157654</xdr:rowOff>
    </xdr:from>
    <xdr:to>
      <xdr:col>20</xdr:col>
      <xdr:colOff>400967</xdr:colOff>
      <xdr:row>11</xdr:row>
      <xdr:rowOff>131251</xdr:rowOff>
    </xdr:to>
    <xdr:sp macro="" textlink="">
      <xdr:nvSpPr>
        <xdr:cNvPr id="118" name="Rond hoek zelfde zijde rechthoek 117"/>
        <xdr:cNvSpPr/>
      </xdr:nvSpPr>
      <xdr:spPr>
        <a:xfrm>
          <a:off x="11056788" y="1445171"/>
          <a:ext cx="1431076"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Bezwaar</a:t>
          </a:r>
        </a:p>
      </xdr:txBody>
    </xdr:sp>
    <xdr:clientData/>
  </xdr:twoCellAnchor>
  <xdr:twoCellAnchor>
    <xdr:from>
      <xdr:col>15</xdr:col>
      <xdr:colOff>304800</xdr:colOff>
      <xdr:row>7</xdr:row>
      <xdr:rowOff>157654</xdr:rowOff>
    </xdr:from>
    <xdr:to>
      <xdr:col>17</xdr:col>
      <xdr:colOff>522309</xdr:colOff>
      <xdr:row>11</xdr:row>
      <xdr:rowOff>131251</xdr:rowOff>
    </xdr:to>
    <xdr:sp macro="" textlink="">
      <xdr:nvSpPr>
        <xdr:cNvPr id="119" name="Rond hoek zelfde zijde rechthoek 118"/>
        <xdr:cNvSpPr/>
      </xdr:nvSpPr>
      <xdr:spPr>
        <a:xfrm>
          <a:off x="9448800" y="1529254"/>
          <a:ext cx="1436709"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Inkomen</a:t>
          </a:r>
        </a:p>
      </xdr:txBody>
    </xdr:sp>
    <xdr:clientData/>
  </xdr:twoCellAnchor>
  <xdr:twoCellAnchor>
    <xdr:from>
      <xdr:col>12</xdr:col>
      <xdr:colOff>403322</xdr:colOff>
      <xdr:row>7</xdr:row>
      <xdr:rowOff>157654</xdr:rowOff>
    </xdr:from>
    <xdr:to>
      <xdr:col>15</xdr:col>
      <xdr:colOff>16108</xdr:colOff>
      <xdr:row>11</xdr:row>
      <xdr:rowOff>131251</xdr:rowOff>
    </xdr:to>
    <xdr:sp macro="" textlink="">
      <xdr:nvSpPr>
        <xdr:cNvPr id="120" name="Rond hoek zelfde zijde rechthoek 119"/>
        <xdr:cNvSpPr/>
      </xdr:nvSpPr>
      <xdr:spPr>
        <a:xfrm>
          <a:off x="7655460" y="1445171"/>
          <a:ext cx="1425820" cy="70932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Ondersteuning</a:t>
          </a:r>
        </a:p>
      </xdr:txBody>
    </xdr:sp>
    <xdr:clientData/>
  </xdr:twoCellAnchor>
  <xdr:twoCellAnchor>
    <xdr:from>
      <xdr:col>29</xdr:col>
      <xdr:colOff>281462</xdr:colOff>
      <xdr:row>7</xdr:row>
      <xdr:rowOff>157654</xdr:rowOff>
    </xdr:from>
    <xdr:to>
      <xdr:col>31</xdr:col>
      <xdr:colOff>498971</xdr:colOff>
      <xdr:row>11</xdr:row>
      <xdr:rowOff>131251</xdr:rowOff>
    </xdr:to>
    <xdr:sp macro="" textlink="">
      <xdr:nvSpPr>
        <xdr:cNvPr id="121" name="Rond hoek zelfde zijde rechthoek 120"/>
        <xdr:cNvSpPr/>
      </xdr:nvSpPr>
      <xdr:spPr>
        <a:xfrm>
          <a:off x="17959862" y="1529254"/>
          <a:ext cx="1436709"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Onderdak</a:t>
          </a:r>
        </a:p>
      </xdr:txBody>
    </xdr:sp>
    <xdr:clientData/>
  </xdr:twoCellAnchor>
  <xdr:twoCellAnchor>
    <xdr:from>
      <xdr:col>21</xdr:col>
      <xdr:colOff>15449</xdr:colOff>
      <xdr:row>7</xdr:row>
      <xdr:rowOff>157654</xdr:rowOff>
    </xdr:from>
    <xdr:to>
      <xdr:col>23</xdr:col>
      <xdr:colOff>232959</xdr:colOff>
      <xdr:row>11</xdr:row>
      <xdr:rowOff>131251</xdr:rowOff>
    </xdr:to>
    <xdr:sp macro="" textlink="">
      <xdr:nvSpPr>
        <xdr:cNvPr id="122" name="Rond hoek zelfde zijde rechthoek 121"/>
        <xdr:cNvSpPr/>
      </xdr:nvSpPr>
      <xdr:spPr>
        <a:xfrm>
          <a:off x="12817049" y="1529254"/>
          <a:ext cx="1436710"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Schulden</a:t>
          </a:r>
        </a:p>
      </xdr:txBody>
    </xdr:sp>
    <xdr:clientData/>
  </xdr:twoCellAnchor>
  <xdr:twoCellAnchor>
    <xdr:from>
      <xdr:col>26</xdr:col>
      <xdr:colOff>415040</xdr:colOff>
      <xdr:row>7</xdr:row>
      <xdr:rowOff>157654</xdr:rowOff>
    </xdr:from>
    <xdr:to>
      <xdr:col>29</xdr:col>
      <xdr:colOff>22950</xdr:colOff>
      <xdr:row>11</xdr:row>
      <xdr:rowOff>131251</xdr:rowOff>
    </xdr:to>
    <xdr:sp macro="" textlink="">
      <xdr:nvSpPr>
        <xdr:cNvPr id="123" name="Rond hoek zelfde zijde rechthoek 122"/>
        <xdr:cNvSpPr/>
      </xdr:nvSpPr>
      <xdr:spPr>
        <a:xfrm>
          <a:off x="16264640" y="1529254"/>
          <a:ext cx="1436710"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Klacht</a:t>
          </a:r>
        </a:p>
      </xdr:txBody>
    </xdr:sp>
    <xdr:clientData/>
  </xdr:twoCellAnchor>
  <xdr:twoCellAnchor>
    <xdr:from>
      <xdr:col>23</xdr:col>
      <xdr:colOff>510520</xdr:colOff>
      <xdr:row>7</xdr:row>
      <xdr:rowOff>157654</xdr:rowOff>
    </xdr:from>
    <xdr:to>
      <xdr:col>26</xdr:col>
      <xdr:colOff>118429</xdr:colOff>
      <xdr:row>11</xdr:row>
      <xdr:rowOff>131251</xdr:rowOff>
    </xdr:to>
    <xdr:sp macro="" textlink="">
      <xdr:nvSpPr>
        <xdr:cNvPr id="124" name="Rond hoek zelfde zijde rechthoek 123"/>
        <xdr:cNvSpPr/>
      </xdr:nvSpPr>
      <xdr:spPr>
        <a:xfrm>
          <a:off x="14531320" y="1529254"/>
          <a:ext cx="1436709" cy="7736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Basisgegevens</a:t>
          </a:r>
        </a:p>
      </xdr:txBody>
    </xdr:sp>
    <xdr:clientData/>
  </xdr:twoCellAnchor>
  <xdr:twoCellAnchor>
    <xdr:from>
      <xdr:col>4</xdr:col>
      <xdr:colOff>239691</xdr:colOff>
      <xdr:row>12</xdr:row>
      <xdr:rowOff>135785</xdr:rowOff>
    </xdr:from>
    <xdr:to>
      <xdr:col>6</xdr:col>
      <xdr:colOff>457200</xdr:colOff>
      <xdr:row>16</xdr:row>
      <xdr:rowOff>109382</xdr:rowOff>
    </xdr:to>
    <xdr:sp macro="" textlink="">
      <xdr:nvSpPr>
        <xdr:cNvPr id="174" name="Rond hoek zelfde zijde rechthoek 173"/>
        <xdr:cNvSpPr/>
      </xdr:nvSpPr>
      <xdr:spPr>
        <a:xfrm>
          <a:off x="2657070" y="2342957"/>
          <a:ext cx="1426199" cy="70932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(ver)Bouwen</a:t>
          </a:r>
        </a:p>
      </xdr:txBody>
    </xdr:sp>
    <xdr:clientData/>
  </xdr:twoCellAnchor>
  <xdr:twoCellAnchor>
    <xdr:from>
      <xdr:col>7</xdr:col>
      <xdr:colOff>91440</xdr:colOff>
      <xdr:row>12</xdr:row>
      <xdr:rowOff>138802</xdr:rowOff>
    </xdr:from>
    <xdr:to>
      <xdr:col>9</xdr:col>
      <xdr:colOff>308949</xdr:colOff>
      <xdr:row>16</xdr:row>
      <xdr:rowOff>112399</xdr:rowOff>
    </xdr:to>
    <xdr:sp macro="" textlink="">
      <xdr:nvSpPr>
        <xdr:cNvPr id="175" name="Rond hoek zelfde zijde rechthoek 174"/>
        <xdr:cNvSpPr/>
      </xdr:nvSpPr>
      <xdr:spPr>
        <a:xfrm>
          <a:off x="4358640" y="2424802"/>
          <a:ext cx="1436709" cy="7101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Organiseren</a:t>
          </a:r>
        </a:p>
      </xdr:txBody>
    </xdr:sp>
    <xdr:clientData/>
  </xdr:twoCellAnchor>
  <xdr:twoCellAnchor>
    <xdr:from>
      <xdr:col>9</xdr:col>
      <xdr:colOff>529251</xdr:colOff>
      <xdr:row>12</xdr:row>
      <xdr:rowOff>126246</xdr:rowOff>
    </xdr:from>
    <xdr:to>
      <xdr:col>12</xdr:col>
      <xdr:colOff>137160</xdr:colOff>
      <xdr:row>16</xdr:row>
      <xdr:rowOff>99843</xdr:rowOff>
    </xdr:to>
    <xdr:sp macro="" textlink="">
      <xdr:nvSpPr>
        <xdr:cNvPr id="176" name="Rond hoek zelfde zijde rechthoek 175"/>
        <xdr:cNvSpPr/>
      </xdr:nvSpPr>
      <xdr:spPr>
        <a:xfrm>
          <a:off x="6015651" y="2412246"/>
          <a:ext cx="1436709" cy="71019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Leven in NL</a:t>
          </a:r>
        </a:p>
      </xdr:txBody>
    </xdr:sp>
    <xdr:clientData/>
  </xdr:twoCellAnchor>
  <xdr:twoCellAnchor>
    <xdr:from>
      <xdr:col>22</xdr:col>
      <xdr:colOff>247467</xdr:colOff>
      <xdr:row>64</xdr:row>
      <xdr:rowOff>103340</xdr:rowOff>
    </xdr:from>
    <xdr:to>
      <xdr:col>34</xdr:col>
      <xdr:colOff>419100</xdr:colOff>
      <xdr:row>78</xdr:row>
      <xdr:rowOff>168693</xdr:rowOff>
    </xdr:to>
    <xdr:sp macro="" textlink="">
      <xdr:nvSpPr>
        <xdr:cNvPr id="125" name="Rechthoek 124"/>
        <xdr:cNvSpPr/>
      </xdr:nvSpPr>
      <xdr:spPr>
        <a:xfrm>
          <a:off x="13658667" y="12371540"/>
          <a:ext cx="7486833" cy="2732353"/>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AI engines</a:t>
          </a:r>
        </a:p>
      </xdr:txBody>
    </xdr:sp>
    <xdr:clientData/>
  </xdr:twoCellAnchor>
  <xdr:twoCellAnchor>
    <xdr:from>
      <xdr:col>22</xdr:col>
      <xdr:colOff>517878</xdr:colOff>
      <xdr:row>67</xdr:row>
      <xdr:rowOff>7173</xdr:rowOff>
    </xdr:from>
    <xdr:to>
      <xdr:col>25</xdr:col>
      <xdr:colOff>125596</xdr:colOff>
      <xdr:row>71</xdr:row>
      <xdr:rowOff>33916</xdr:rowOff>
    </xdr:to>
    <xdr:sp macro="" textlink="">
      <xdr:nvSpPr>
        <xdr:cNvPr id="127" name="Rond hoek zelfde zijde rechthoek 126"/>
        <xdr:cNvSpPr/>
      </xdr:nvSpPr>
      <xdr:spPr>
        <a:xfrm>
          <a:off x="13929078" y="12351573"/>
          <a:ext cx="1436518" cy="7379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Natural language processing</a:t>
          </a:r>
        </a:p>
      </xdr:txBody>
    </xdr:sp>
    <xdr:clientData/>
  </xdr:twoCellAnchor>
  <xdr:twoCellAnchor>
    <xdr:from>
      <xdr:col>22</xdr:col>
      <xdr:colOff>517878</xdr:colOff>
      <xdr:row>72</xdr:row>
      <xdr:rowOff>58425</xdr:rowOff>
    </xdr:from>
    <xdr:to>
      <xdr:col>25</xdr:col>
      <xdr:colOff>125596</xdr:colOff>
      <xdr:row>76</xdr:row>
      <xdr:rowOff>59768</xdr:rowOff>
    </xdr:to>
    <xdr:sp macro="" textlink="">
      <xdr:nvSpPr>
        <xdr:cNvPr id="128" name="Rond hoek zelfde zijde rechthoek 127"/>
        <xdr:cNvSpPr/>
      </xdr:nvSpPr>
      <xdr:spPr>
        <a:xfrm>
          <a:off x="13929078" y="13291825"/>
          <a:ext cx="1436518" cy="7125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Predictive en presriptive algorithms</a:t>
          </a:r>
        </a:p>
      </xdr:txBody>
    </xdr:sp>
    <xdr:clientData/>
  </xdr:twoCellAnchor>
  <xdr:twoCellAnchor>
    <xdr:from>
      <xdr:col>25</xdr:col>
      <xdr:colOff>517404</xdr:colOff>
      <xdr:row>66</xdr:row>
      <xdr:rowOff>162399</xdr:rowOff>
    </xdr:from>
    <xdr:to>
      <xdr:col>28</xdr:col>
      <xdr:colOff>125121</xdr:colOff>
      <xdr:row>71</xdr:row>
      <xdr:rowOff>11343</xdr:rowOff>
    </xdr:to>
    <xdr:sp macro="" textlink="">
      <xdr:nvSpPr>
        <xdr:cNvPr id="129" name="Rond hoek zelfde zijde rechthoek 128"/>
        <xdr:cNvSpPr/>
      </xdr:nvSpPr>
      <xdr:spPr>
        <a:xfrm>
          <a:off x="15757404" y="12328999"/>
          <a:ext cx="1436517" cy="73794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Machine learning</a:t>
          </a:r>
        </a:p>
      </xdr:txBody>
    </xdr:sp>
    <xdr:clientData/>
  </xdr:twoCellAnchor>
  <xdr:twoCellAnchor>
    <xdr:from>
      <xdr:col>25</xdr:col>
      <xdr:colOff>517404</xdr:colOff>
      <xdr:row>72</xdr:row>
      <xdr:rowOff>58424</xdr:rowOff>
    </xdr:from>
    <xdr:to>
      <xdr:col>28</xdr:col>
      <xdr:colOff>125121</xdr:colOff>
      <xdr:row>76</xdr:row>
      <xdr:rowOff>59768</xdr:rowOff>
    </xdr:to>
    <xdr:sp macro="" textlink="">
      <xdr:nvSpPr>
        <xdr:cNvPr id="130" name="Rond hoek zelfde zijde rechthoek 129"/>
        <xdr:cNvSpPr/>
      </xdr:nvSpPr>
      <xdr:spPr>
        <a:xfrm>
          <a:off x="15757404" y="13291824"/>
          <a:ext cx="1436517" cy="71254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Image recognition</a:t>
          </a:r>
        </a:p>
      </xdr:txBody>
    </xdr:sp>
    <xdr:clientData/>
  </xdr:twoCellAnchor>
  <xdr:twoCellAnchor>
    <xdr:from>
      <xdr:col>22</xdr:col>
      <xdr:colOff>304616</xdr:colOff>
      <xdr:row>44</xdr:row>
      <xdr:rowOff>112840</xdr:rowOff>
    </xdr:from>
    <xdr:to>
      <xdr:col>34</xdr:col>
      <xdr:colOff>514350</xdr:colOff>
      <xdr:row>63</xdr:row>
      <xdr:rowOff>19049</xdr:rowOff>
    </xdr:to>
    <xdr:sp macro="" textlink="">
      <xdr:nvSpPr>
        <xdr:cNvPr id="126" name="Rechthoek 125"/>
        <xdr:cNvSpPr/>
      </xdr:nvSpPr>
      <xdr:spPr>
        <a:xfrm>
          <a:off x="13715816" y="8571040"/>
          <a:ext cx="7524934" cy="3525709"/>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IoT engines</a:t>
          </a:r>
        </a:p>
      </xdr:txBody>
    </xdr:sp>
    <xdr:clientData/>
  </xdr:twoCellAnchor>
  <xdr:twoCellAnchor>
    <xdr:from>
      <xdr:col>22</xdr:col>
      <xdr:colOff>517877</xdr:colOff>
      <xdr:row>47</xdr:row>
      <xdr:rowOff>23657</xdr:rowOff>
    </xdr:from>
    <xdr:to>
      <xdr:col>25</xdr:col>
      <xdr:colOff>125595</xdr:colOff>
      <xdr:row>51</xdr:row>
      <xdr:rowOff>39375</xdr:rowOff>
    </xdr:to>
    <xdr:sp macro="" textlink="">
      <xdr:nvSpPr>
        <xdr:cNvPr id="131" name="Rond hoek zelfde zijde rechthoek 130"/>
        <xdr:cNvSpPr/>
      </xdr:nvSpPr>
      <xdr:spPr>
        <a:xfrm>
          <a:off x="13929077" y="9053357"/>
          <a:ext cx="1436518"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IoT Gateway</a:t>
          </a:r>
        </a:p>
      </xdr:txBody>
    </xdr:sp>
    <xdr:clientData/>
  </xdr:twoCellAnchor>
  <xdr:twoCellAnchor>
    <xdr:from>
      <xdr:col>25</xdr:col>
      <xdr:colOff>517403</xdr:colOff>
      <xdr:row>47</xdr:row>
      <xdr:rowOff>23657</xdr:rowOff>
    </xdr:from>
    <xdr:to>
      <xdr:col>28</xdr:col>
      <xdr:colOff>125120</xdr:colOff>
      <xdr:row>51</xdr:row>
      <xdr:rowOff>39375</xdr:rowOff>
    </xdr:to>
    <xdr:sp macro="" textlink="">
      <xdr:nvSpPr>
        <xdr:cNvPr id="132" name="Rond hoek zelfde zijde rechthoek 131"/>
        <xdr:cNvSpPr/>
      </xdr:nvSpPr>
      <xdr:spPr>
        <a:xfrm>
          <a:off x="15757403" y="9053357"/>
          <a:ext cx="1436517"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Realtime Processing</a:t>
          </a:r>
        </a:p>
      </xdr:txBody>
    </xdr:sp>
    <xdr:clientData/>
  </xdr:twoCellAnchor>
  <xdr:twoCellAnchor>
    <xdr:from>
      <xdr:col>28</xdr:col>
      <xdr:colOff>516929</xdr:colOff>
      <xdr:row>47</xdr:row>
      <xdr:rowOff>23657</xdr:rowOff>
    </xdr:from>
    <xdr:to>
      <xdr:col>31</xdr:col>
      <xdr:colOff>124647</xdr:colOff>
      <xdr:row>51</xdr:row>
      <xdr:rowOff>39375</xdr:rowOff>
    </xdr:to>
    <xdr:sp macro="" textlink="">
      <xdr:nvSpPr>
        <xdr:cNvPr id="133" name="Rond hoek zelfde zijde rechthoek 132"/>
        <xdr:cNvSpPr/>
      </xdr:nvSpPr>
      <xdr:spPr>
        <a:xfrm>
          <a:off x="17585729" y="9053357"/>
          <a:ext cx="1436518"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Metadata management</a:t>
          </a:r>
        </a:p>
      </xdr:txBody>
    </xdr:sp>
    <xdr:clientData/>
  </xdr:twoCellAnchor>
  <xdr:twoCellAnchor>
    <xdr:from>
      <xdr:col>31</xdr:col>
      <xdr:colOff>516455</xdr:colOff>
      <xdr:row>47</xdr:row>
      <xdr:rowOff>23657</xdr:rowOff>
    </xdr:from>
    <xdr:to>
      <xdr:col>34</xdr:col>
      <xdr:colOff>124173</xdr:colOff>
      <xdr:row>51</xdr:row>
      <xdr:rowOff>39375</xdr:rowOff>
    </xdr:to>
    <xdr:sp macro="" textlink="">
      <xdr:nvSpPr>
        <xdr:cNvPr id="134" name="Rond hoek zelfde zijde rechthoek 133"/>
        <xdr:cNvSpPr/>
      </xdr:nvSpPr>
      <xdr:spPr>
        <a:xfrm>
          <a:off x="19414055" y="9053357"/>
          <a:ext cx="1436518" cy="77771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Profiling</a:t>
          </a:r>
        </a:p>
      </xdr:txBody>
    </xdr:sp>
    <xdr:clientData/>
  </xdr:twoCellAnchor>
  <xdr:twoCellAnchor>
    <xdr:from>
      <xdr:col>25</xdr:col>
      <xdr:colOff>517403</xdr:colOff>
      <xdr:row>52</xdr:row>
      <xdr:rowOff>59083</xdr:rowOff>
    </xdr:from>
    <xdr:to>
      <xdr:col>28</xdr:col>
      <xdr:colOff>125120</xdr:colOff>
      <xdr:row>56</xdr:row>
      <xdr:rowOff>46878</xdr:rowOff>
    </xdr:to>
    <xdr:sp macro="" textlink="">
      <xdr:nvSpPr>
        <xdr:cNvPr id="135" name="Rond hoek zelfde zijde rechthoek 134"/>
        <xdr:cNvSpPr/>
      </xdr:nvSpPr>
      <xdr:spPr>
        <a:xfrm>
          <a:off x="15757403" y="10041283"/>
          <a:ext cx="1436517" cy="74979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Data Lake</a:t>
          </a:r>
        </a:p>
      </xdr:txBody>
    </xdr:sp>
    <xdr:clientData/>
  </xdr:twoCellAnchor>
  <xdr:twoCellAnchor>
    <xdr:from>
      <xdr:col>22</xdr:col>
      <xdr:colOff>517877</xdr:colOff>
      <xdr:row>52</xdr:row>
      <xdr:rowOff>59083</xdr:rowOff>
    </xdr:from>
    <xdr:to>
      <xdr:col>25</xdr:col>
      <xdr:colOff>125595</xdr:colOff>
      <xdr:row>56</xdr:row>
      <xdr:rowOff>46878</xdr:rowOff>
    </xdr:to>
    <xdr:sp macro="" textlink="">
      <xdr:nvSpPr>
        <xdr:cNvPr id="136" name="Rond hoek zelfde zijde rechthoek 135"/>
        <xdr:cNvSpPr/>
      </xdr:nvSpPr>
      <xdr:spPr>
        <a:xfrm>
          <a:off x="13929077" y="10041283"/>
          <a:ext cx="1436518" cy="74979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Robotics gateway</a:t>
          </a:r>
        </a:p>
      </xdr:txBody>
    </xdr:sp>
    <xdr:clientData/>
  </xdr:twoCellAnchor>
  <xdr:twoCellAnchor>
    <xdr:from>
      <xdr:col>22</xdr:col>
      <xdr:colOff>222066</xdr:colOff>
      <xdr:row>79</xdr:row>
      <xdr:rowOff>131446</xdr:rowOff>
    </xdr:from>
    <xdr:to>
      <xdr:col>38</xdr:col>
      <xdr:colOff>318066</xdr:colOff>
      <xdr:row>93</xdr:row>
      <xdr:rowOff>89974</xdr:rowOff>
    </xdr:to>
    <xdr:sp macro="" textlink="">
      <xdr:nvSpPr>
        <xdr:cNvPr id="112" name="Rechthoek 111"/>
        <xdr:cNvSpPr/>
      </xdr:nvSpPr>
      <xdr:spPr>
        <a:xfrm>
          <a:off x="13633266" y="15180946"/>
          <a:ext cx="9849600" cy="2625528"/>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Beheeromgeving smart toolbox</a:t>
          </a:r>
        </a:p>
      </xdr:txBody>
    </xdr:sp>
    <xdr:clientData/>
  </xdr:twoCellAnchor>
  <xdr:twoCellAnchor>
    <xdr:from>
      <xdr:col>22</xdr:col>
      <xdr:colOff>492477</xdr:colOff>
      <xdr:row>82</xdr:row>
      <xdr:rowOff>37375</xdr:rowOff>
    </xdr:from>
    <xdr:to>
      <xdr:col>25</xdr:col>
      <xdr:colOff>100195</xdr:colOff>
      <xdr:row>86</xdr:row>
      <xdr:rowOff>12294</xdr:rowOff>
    </xdr:to>
    <xdr:sp macro="" textlink="">
      <xdr:nvSpPr>
        <xdr:cNvPr id="113" name="Rond hoek zelfde zijde rechthoek 112"/>
        <xdr:cNvSpPr/>
      </xdr:nvSpPr>
      <xdr:spPr>
        <a:xfrm>
          <a:off x="13788063" y="15119720"/>
          <a:ext cx="1420753"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Marktplaats</a:t>
          </a:r>
        </a:p>
      </xdr:txBody>
    </xdr:sp>
    <xdr:clientData/>
  </xdr:twoCellAnchor>
  <xdr:twoCellAnchor>
    <xdr:from>
      <xdr:col>25</xdr:col>
      <xdr:colOff>492003</xdr:colOff>
      <xdr:row>87</xdr:row>
      <xdr:rowOff>12290</xdr:rowOff>
    </xdr:from>
    <xdr:to>
      <xdr:col>28</xdr:col>
      <xdr:colOff>99720</xdr:colOff>
      <xdr:row>90</xdr:row>
      <xdr:rowOff>178621</xdr:rowOff>
    </xdr:to>
    <xdr:sp macro="" textlink="">
      <xdr:nvSpPr>
        <xdr:cNvPr id="114" name="Rond hoek zelfde zijde rechthoek 113"/>
        <xdr:cNvSpPr/>
      </xdr:nvSpPr>
      <xdr:spPr>
        <a:xfrm>
          <a:off x="15600624" y="16014290"/>
          <a:ext cx="1420751" cy="71812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Toolkits</a:t>
          </a:r>
        </a:p>
      </xdr:txBody>
    </xdr:sp>
    <xdr:clientData/>
  </xdr:twoCellAnchor>
  <xdr:twoCellAnchor>
    <xdr:from>
      <xdr:col>22</xdr:col>
      <xdr:colOff>492477</xdr:colOff>
      <xdr:row>87</xdr:row>
      <xdr:rowOff>12290</xdr:rowOff>
    </xdr:from>
    <xdr:to>
      <xdr:col>25</xdr:col>
      <xdr:colOff>100195</xdr:colOff>
      <xdr:row>90</xdr:row>
      <xdr:rowOff>178621</xdr:rowOff>
    </xdr:to>
    <xdr:sp macro="" textlink="">
      <xdr:nvSpPr>
        <xdr:cNvPr id="137" name="Rond hoek zelfde zijde rechthoek 136"/>
        <xdr:cNvSpPr/>
      </xdr:nvSpPr>
      <xdr:spPr>
        <a:xfrm>
          <a:off x="13788063" y="16014290"/>
          <a:ext cx="1420753" cy="71812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Admin &amp; Config</a:t>
          </a:r>
        </a:p>
      </xdr:txBody>
    </xdr:sp>
    <xdr:clientData/>
  </xdr:twoCellAnchor>
  <xdr:twoCellAnchor>
    <xdr:from>
      <xdr:col>1</xdr:col>
      <xdr:colOff>180850</xdr:colOff>
      <xdr:row>44</xdr:row>
      <xdr:rowOff>86763</xdr:rowOff>
    </xdr:from>
    <xdr:to>
      <xdr:col>21</xdr:col>
      <xdr:colOff>590550</xdr:colOff>
      <xdr:row>63</xdr:row>
      <xdr:rowOff>30480</xdr:rowOff>
    </xdr:to>
    <xdr:sp macro="" textlink="">
      <xdr:nvSpPr>
        <xdr:cNvPr id="24" name="Rechthoek 23"/>
        <xdr:cNvSpPr/>
      </xdr:nvSpPr>
      <xdr:spPr>
        <a:xfrm>
          <a:off x="790450" y="8544963"/>
          <a:ext cx="12601700" cy="3563217"/>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Platform engines</a:t>
          </a:r>
        </a:p>
      </xdr:txBody>
    </xdr:sp>
    <xdr:clientData/>
  </xdr:twoCellAnchor>
  <xdr:twoCellAnchor>
    <xdr:from>
      <xdr:col>1</xdr:col>
      <xdr:colOff>426600</xdr:colOff>
      <xdr:row>47</xdr:row>
      <xdr:rowOff>45903</xdr:rowOff>
    </xdr:from>
    <xdr:to>
      <xdr:col>4</xdr:col>
      <xdr:colOff>39192</xdr:colOff>
      <xdr:row>51</xdr:row>
      <xdr:rowOff>22361</xdr:rowOff>
    </xdr:to>
    <xdr:sp macro="" textlink="">
      <xdr:nvSpPr>
        <xdr:cNvPr id="19" name="Rond hoek zelfde zijde rechthoek 18"/>
        <xdr:cNvSpPr/>
      </xdr:nvSpPr>
      <xdr:spPr>
        <a:xfrm>
          <a:off x="1030945" y="8690662"/>
          <a:ext cx="1425626" cy="712182"/>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Identiteit en toegang</a:t>
          </a:r>
        </a:p>
      </xdr:txBody>
    </xdr:sp>
    <xdr:clientData/>
  </xdr:twoCellAnchor>
  <xdr:twoCellAnchor>
    <xdr:from>
      <xdr:col>9</xdr:col>
      <xdr:colOff>514308</xdr:colOff>
      <xdr:row>47</xdr:row>
      <xdr:rowOff>45725</xdr:rowOff>
    </xdr:from>
    <xdr:to>
      <xdr:col>12</xdr:col>
      <xdr:colOff>126900</xdr:colOff>
      <xdr:row>51</xdr:row>
      <xdr:rowOff>12624</xdr:rowOff>
    </xdr:to>
    <xdr:sp macro="" textlink="">
      <xdr:nvSpPr>
        <xdr:cNvPr id="33" name="Rond hoek zelfde zijde rechthoek 32"/>
        <xdr:cNvSpPr/>
      </xdr:nvSpPr>
      <xdr:spPr>
        <a:xfrm>
          <a:off x="5953411" y="8690484"/>
          <a:ext cx="1425627"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(AVG) Logging</a:t>
          </a:r>
        </a:p>
      </xdr:txBody>
    </xdr:sp>
    <xdr:clientData/>
  </xdr:twoCellAnchor>
  <xdr:twoCellAnchor>
    <xdr:from>
      <xdr:col>12</xdr:col>
      <xdr:colOff>394141</xdr:colOff>
      <xdr:row>47</xdr:row>
      <xdr:rowOff>45725</xdr:rowOff>
    </xdr:from>
    <xdr:to>
      <xdr:col>15</xdr:col>
      <xdr:colOff>6733</xdr:colOff>
      <xdr:row>51</xdr:row>
      <xdr:rowOff>12624</xdr:rowOff>
    </xdr:to>
    <xdr:sp macro="" textlink="">
      <xdr:nvSpPr>
        <xdr:cNvPr id="35" name="Rond hoek zelfde zijde rechthoek 34"/>
        <xdr:cNvSpPr/>
      </xdr:nvSpPr>
      <xdr:spPr>
        <a:xfrm>
          <a:off x="7646279" y="8690484"/>
          <a:ext cx="1425626"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API gateway store</a:t>
          </a:r>
        </a:p>
      </xdr:txBody>
    </xdr:sp>
    <xdr:clientData/>
  </xdr:twoCellAnchor>
  <xdr:twoCellAnchor>
    <xdr:from>
      <xdr:col>15</xdr:col>
      <xdr:colOff>304800</xdr:colOff>
      <xdr:row>47</xdr:row>
      <xdr:rowOff>45725</xdr:rowOff>
    </xdr:from>
    <xdr:to>
      <xdr:col>17</xdr:col>
      <xdr:colOff>522115</xdr:colOff>
      <xdr:row>51</xdr:row>
      <xdr:rowOff>12624</xdr:rowOff>
    </xdr:to>
    <xdr:sp macro="" textlink="">
      <xdr:nvSpPr>
        <xdr:cNvPr id="49" name="Rond hoek zelfde zijde rechthoek 48"/>
        <xdr:cNvSpPr/>
      </xdr:nvSpPr>
      <xdr:spPr>
        <a:xfrm>
          <a:off x="9369972" y="8690484"/>
          <a:ext cx="1426005"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Workflow engine (BPM)</a:t>
          </a:r>
        </a:p>
      </xdr:txBody>
    </xdr:sp>
    <xdr:clientData/>
  </xdr:twoCellAnchor>
  <xdr:twoCellAnchor>
    <xdr:from>
      <xdr:col>4</xdr:col>
      <xdr:colOff>235375</xdr:colOff>
      <xdr:row>47</xdr:row>
      <xdr:rowOff>45725</xdr:rowOff>
    </xdr:from>
    <xdr:to>
      <xdr:col>6</xdr:col>
      <xdr:colOff>452690</xdr:colOff>
      <xdr:row>51</xdr:row>
      <xdr:rowOff>12624</xdr:rowOff>
    </xdr:to>
    <xdr:sp macro="" textlink="">
      <xdr:nvSpPr>
        <xdr:cNvPr id="57" name="Rond hoek zelfde zijde rechthoek 56"/>
        <xdr:cNvSpPr/>
      </xdr:nvSpPr>
      <xdr:spPr>
        <a:xfrm>
          <a:off x="2652754" y="8690484"/>
          <a:ext cx="1426005" cy="702623"/>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Gebruikersbeheer</a:t>
          </a:r>
        </a:p>
      </xdr:txBody>
    </xdr:sp>
    <xdr:clientData/>
  </xdr:twoCellAnchor>
  <xdr:twoCellAnchor>
    <xdr:from>
      <xdr:col>12</xdr:col>
      <xdr:colOff>394141</xdr:colOff>
      <xdr:row>52</xdr:row>
      <xdr:rowOff>87839</xdr:rowOff>
    </xdr:from>
    <xdr:to>
      <xdr:col>15</xdr:col>
      <xdr:colOff>6733</xdr:colOff>
      <xdr:row>56</xdr:row>
      <xdr:rowOff>62758</xdr:rowOff>
    </xdr:to>
    <xdr:sp macro="" textlink="">
      <xdr:nvSpPr>
        <xdr:cNvPr id="69" name="Rond hoek zelfde zijde rechthoek 68"/>
        <xdr:cNvSpPr/>
      </xdr:nvSpPr>
      <xdr:spPr>
        <a:xfrm>
          <a:off x="7646279" y="9652253"/>
          <a:ext cx="1425626"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Attribuut module</a:t>
          </a:r>
        </a:p>
      </xdr:txBody>
    </xdr:sp>
    <xdr:clientData/>
  </xdr:twoCellAnchor>
  <xdr:twoCellAnchor>
    <xdr:from>
      <xdr:col>9</xdr:col>
      <xdr:colOff>514308</xdr:colOff>
      <xdr:row>52</xdr:row>
      <xdr:rowOff>87839</xdr:rowOff>
    </xdr:from>
    <xdr:to>
      <xdr:col>12</xdr:col>
      <xdr:colOff>126900</xdr:colOff>
      <xdr:row>56</xdr:row>
      <xdr:rowOff>62758</xdr:rowOff>
    </xdr:to>
    <xdr:sp macro="" textlink="">
      <xdr:nvSpPr>
        <xdr:cNvPr id="81" name="Rond hoek zelfde zijde rechthoek 80"/>
        <xdr:cNvSpPr/>
      </xdr:nvSpPr>
      <xdr:spPr>
        <a:xfrm>
          <a:off x="5953411" y="9652253"/>
          <a:ext cx="1425627"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ESB</a:t>
          </a:r>
        </a:p>
      </xdr:txBody>
    </xdr:sp>
    <xdr:clientData/>
  </xdr:twoCellAnchor>
  <xdr:twoCellAnchor>
    <xdr:from>
      <xdr:col>15</xdr:col>
      <xdr:colOff>304800</xdr:colOff>
      <xdr:row>52</xdr:row>
      <xdr:rowOff>87839</xdr:rowOff>
    </xdr:from>
    <xdr:to>
      <xdr:col>17</xdr:col>
      <xdr:colOff>522115</xdr:colOff>
      <xdr:row>56</xdr:row>
      <xdr:rowOff>62758</xdr:rowOff>
    </xdr:to>
    <xdr:sp macro="" textlink="">
      <xdr:nvSpPr>
        <xdr:cNvPr id="88" name="Rond hoek zelfde zijde rechthoek 87"/>
        <xdr:cNvSpPr/>
      </xdr:nvSpPr>
      <xdr:spPr>
        <a:xfrm>
          <a:off x="9369972" y="9652253"/>
          <a:ext cx="1426005"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Look and Feel </a:t>
          </a:r>
        </a:p>
      </xdr:txBody>
    </xdr:sp>
    <xdr:clientData/>
  </xdr:twoCellAnchor>
  <xdr:twoCellAnchor>
    <xdr:from>
      <xdr:col>1</xdr:col>
      <xdr:colOff>426600</xdr:colOff>
      <xdr:row>52</xdr:row>
      <xdr:rowOff>87839</xdr:rowOff>
    </xdr:from>
    <xdr:to>
      <xdr:col>4</xdr:col>
      <xdr:colOff>39192</xdr:colOff>
      <xdr:row>56</xdr:row>
      <xdr:rowOff>62758</xdr:rowOff>
    </xdr:to>
    <xdr:sp macro="" textlink="">
      <xdr:nvSpPr>
        <xdr:cNvPr id="138" name="Rond hoek zelfde zijde rechthoek 137"/>
        <xdr:cNvSpPr/>
      </xdr:nvSpPr>
      <xdr:spPr>
        <a:xfrm>
          <a:off x="1030945" y="9652253"/>
          <a:ext cx="1425626" cy="71064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Privacy</a:t>
          </a:r>
        </a:p>
      </xdr:txBody>
    </xdr:sp>
    <xdr:clientData/>
  </xdr:twoCellAnchor>
  <xdr:twoCellAnchor>
    <xdr:from>
      <xdr:col>7</xdr:col>
      <xdr:colOff>13941</xdr:colOff>
      <xdr:row>47</xdr:row>
      <xdr:rowOff>45725</xdr:rowOff>
    </xdr:from>
    <xdr:to>
      <xdr:col>9</xdr:col>
      <xdr:colOff>236133</xdr:colOff>
      <xdr:row>51</xdr:row>
      <xdr:rowOff>12624</xdr:rowOff>
    </xdr:to>
    <xdr:sp macro="" textlink="">
      <xdr:nvSpPr>
        <xdr:cNvPr id="139" name="Rond hoek zelfde zijde rechthoek 138"/>
        <xdr:cNvSpPr/>
      </xdr:nvSpPr>
      <xdr:spPr>
        <a:xfrm>
          <a:off x="4244355" y="8690484"/>
          <a:ext cx="1430881" cy="70262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Event Handler</a:t>
          </a:r>
        </a:p>
      </xdr:txBody>
    </xdr:sp>
    <xdr:clientData/>
  </xdr:twoCellAnchor>
  <xdr:twoCellAnchor>
    <xdr:from>
      <xdr:col>1</xdr:col>
      <xdr:colOff>154006</xdr:colOff>
      <xdr:row>64</xdr:row>
      <xdr:rowOff>71095</xdr:rowOff>
    </xdr:from>
    <xdr:to>
      <xdr:col>21</xdr:col>
      <xdr:colOff>562006</xdr:colOff>
      <xdr:row>88</xdr:row>
      <xdr:rowOff>0</xdr:rowOff>
    </xdr:to>
    <xdr:sp macro="" textlink="">
      <xdr:nvSpPr>
        <xdr:cNvPr id="60" name="Rechthoek 59"/>
        <xdr:cNvSpPr/>
      </xdr:nvSpPr>
      <xdr:spPr>
        <a:xfrm>
          <a:off x="763606" y="12263095"/>
          <a:ext cx="12600000" cy="4500905"/>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APIs en koppelingen</a:t>
          </a:r>
        </a:p>
      </xdr:txBody>
    </xdr:sp>
    <xdr:clientData/>
  </xdr:twoCellAnchor>
  <xdr:twoCellAnchor>
    <xdr:from>
      <xdr:col>1</xdr:col>
      <xdr:colOff>467129</xdr:colOff>
      <xdr:row>67</xdr:row>
      <xdr:rowOff>11688</xdr:rowOff>
    </xdr:from>
    <xdr:to>
      <xdr:col>4</xdr:col>
      <xdr:colOff>85172</xdr:colOff>
      <xdr:row>70</xdr:row>
      <xdr:rowOff>150461</xdr:rowOff>
    </xdr:to>
    <xdr:sp macro="" textlink="">
      <xdr:nvSpPr>
        <xdr:cNvPr id="61" name="Rond hoek zelfde zijde rechthoek 60"/>
        <xdr:cNvSpPr/>
      </xdr:nvSpPr>
      <xdr:spPr>
        <a:xfrm>
          <a:off x="1071474" y="12335067"/>
          <a:ext cx="1431077" cy="690566"/>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Trouworder </a:t>
          </a:r>
        </a:p>
      </xdr:txBody>
    </xdr:sp>
    <xdr:clientData/>
  </xdr:twoCellAnchor>
  <xdr:twoCellAnchor>
    <xdr:from>
      <xdr:col>4</xdr:col>
      <xdr:colOff>275906</xdr:colOff>
      <xdr:row>67</xdr:row>
      <xdr:rowOff>11688</xdr:rowOff>
    </xdr:from>
    <xdr:to>
      <xdr:col>6</xdr:col>
      <xdr:colOff>498673</xdr:colOff>
      <xdr:row>70</xdr:row>
      <xdr:rowOff>150461</xdr:rowOff>
    </xdr:to>
    <xdr:sp macro="" textlink="">
      <xdr:nvSpPr>
        <xdr:cNvPr id="62" name="Rond hoek zelfde zijde rechthoek 61"/>
        <xdr:cNvSpPr/>
      </xdr:nvSpPr>
      <xdr:spPr>
        <a:xfrm>
          <a:off x="2693285" y="12335067"/>
          <a:ext cx="1431457" cy="690566"/>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GBA (lokaal)</a:t>
          </a:r>
        </a:p>
      </xdr:txBody>
    </xdr:sp>
    <xdr:clientData/>
  </xdr:twoCellAnchor>
  <xdr:twoCellAnchor>
    <xdr:from>
      <xdr:col>7</xdr:col>
      <xdr:colOff>54473</xdr:colOff>
      <xdr:row>67</xdr:row>
      <xdr:rowOff>11716</xdr:rowOff>
    </xdr:from>
    <xdr:to>
      <xdr:col>9</xdr:col>
      <xdr:colOff>282116</xdr:colOff>
      <xdr:row>70</xdr:row>
      <xdr:rowOff>152031</xdr:rowOff>
    </xdr:to>
    <xdr:sp macro="" textlink="">
      <xdr:nvSpPr>
        <xdr:cNvPr id="64" name="Rond hoek zelfde zijde rechthoek 63"/>
        <xdr:cNvSpPr/>
      </xdr:nvSpPr>
      <xdr:spPr>
        <a:xfrm>
          <a:off x="4284887" y="12335095"/>
          <a:ext cx="1436332" cy="69210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Beschikbaarheid Babs</a:t>
          </a:r>
        </a:p>
      </xdr:txBody>
    </xdr:sp>
    <xdr:clientData/>
  </xdr:twoCellAnchor>
  <xdr:twoCellAnchor>
    <xdr:from>
      <xdr:col>1</xdr:col>
      <xdr:colOff>467129</xdr:colOff>
      <xdr:row>77</xdr:row>
      <xdr:rowOff>33017</xdr:rowOff>
    </xdr:from>
    <xdr:to>
      <xdr:col>4</xdr:col>
      <xdr:colOff>85172</xdr:colOff>
      <xdr:row>80</xdr:row>
      <xdr:rowOff>178239</xdr:rowOff>
    </xdr:to>
    <xdr:sp macro="" textlink="">
      <xdr:nvSpPr>
        <xdr:cNvPr id="65" name="Rond hoek zelfde zijde rechthoek 64"/>
        <xdr:cNvSpPr/>
      </xdr:nvSpPr>
      <xdr:spPr>
        <a:xfrm>
          <a:off x="1071474" y="14195707"/>
          <a:ext cx="1431077" cy="69701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PDC</a:t>
          </a:r>
        </a:p>
      </xdr:txBody>
    </xdr:sp>
    <xdr:clientData/>
  </xdr:twoCellAnchor>
  <xdr:twoCellAnchor>
    <xdr:from>
      <xdr:col>9</xdr:col>
      <xdr:colOff>554842</xdr:colOff>
      <xdr:row>67</xdr:row>
      <xdr:rowOff>11688</xdr:rowOff>
    </xdr:from>
    <xdr:to>
      <xdr:col>12</xdr:col>
      <xdr:colOff>172885</xdr:colOff>
      <xdr:row>70</xdr:row>
      <xdr:rowOff>150461</xdr:rowOff>
    </xdr:to>
    <xdr:sp macro="" textlink="">
      <xdr:nvSpPr>
        <xdr:cNvPr id="66" name="Rond hoek zelfde zijde rechthoek 65"/>
        <xdr:cNvSpPr/>
      </xdr:nvSpPr>
      <xdr:spPr>
        <a:xfrm>
          <a:off x="5993945" y="12335067"/>
          <a:ext cx="1431078" cy="69056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Beschikbaarheid locatie</a:t>
          </a:r>
        </a:p>
      </xdr:txBody>
    </xdr:sp>
    <xdr:clientData/>
  </xdr:twoCellAnchor>
  <xdr:twoCellAnchor>
    <xdr:from>
      <xdr:col>9</xdr:col>
      <xdr:colOff>554842</xdr:colOff>
      <xdr:row>72</xdr:row>
      <xdr:rowOff>11526</xdr:rowOff>
    </xdr:from>
    <xdr:to>
      <xdr:col>12</xdr:col>
      <xdr:colOff>172885</xdr:colOff>
      <xdr:row>75</xdr:row>
      <xdr:rowOff>157781</xdr:rowOff>
    </xdr:to>
    <xdr:sp macro="" textlink="">
      <xdr:nvSpPr>
        <xdr:cNvPr id="67" name="Rond hoek zelfde zijde rechthoek 66"/>
        <xdr:cNvSpPr/>
      </xdr:nvSpPr>
      <xdr:spPr>
        <a:xfrm>
          <a:off x="5993945" y="13254560"/>
          <a:ext cx="1431078" cy="69804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Notificaties</a:t>
          </a:r>
        </a:p>
      </xdr:txBody>
    </xdr:sp>
    <xdr:clientData/>
  </xdr:twoCellAnchor>
  <xdr:twoCellAnchor>
    <xdr:from>
      <xdr:col>12</xdr:col>
      <xdr:colOff>434677</xdr:colOff>
      <xdr:row>67</xdr:row>
      <xdr:rowOff>11688</xdr:rowOff>
    </xdr:from>
    <xdr:to>
      <xdr:col>15</xdr:col>
      <xdr:colOff>52720</xdr:colOff>
      <xdr:row>70</xdr:row>
      <xdr:rowOff>150461</xdr:rowOff>
    </xdr:to>
    <xdr:sp macro="" textlink="">
      <xdr:nvSpPr>
        <xdr:cNvPr id="82" name="Rond hoek zelfde zijde rechthoek 81"/>
        <xdr:cNvSpPr/>
      </xdr:nvSpPr>
      <xdr:spPr>
        <a:xfrm>
          <a:off x="7686815" y="12335067"/>
          <a:ext cx="1431077" cy="690566"/>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NLX inway</a:t>
          </a:r>
        </a:p>
      </xdr:txBody>
    </xdr:sp>
    <xdr:clientData/>
  </xdr:twoCellAnchor>
  <xdr:twoCellAnchor>
    <xdr:from>
      <xdr:col>12</xdr:col>
      <xdr:colOff>434677</xdr:colOff>
      <xdr:row>72</xdr:row>
      <xdr:rowOff>11526</xdr:rowOff>
    </xdr:from>
    <xdr:to>
      <xdr:col>15</xdr:col>
      <xdr:colOff>52720</xdr:colOff>
      <xdr:row>75</xdr:row>
      <xdr:rowOff>157781</xdr:rowOff>
    </xdr:to>
    <xdr:sp macro="" textlink="">
      <xdr:nvSpPr>
        <xdr:cNvPr id="83" name="Rond hoek zelfde zijde rechthoek 82"/>
        <xdr:cNvSpPr/>
      </xdr:nvSpPr>
      <xdr:spPr>
        <a:xfrm>
          <a:off x="7686815" y="13254560"/>
          <a:ext cx="1431077" cy="698049"/>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NLX outway</a:t>
          </a:r>
        </a:p>
      </xdr:txBody>
    </xdr:sp>
    <xdr:clientData/>
  </xdr:twoCellAnchor>
  <xdr:twoCellAnchor>
    <xdr:from>
      <xdr:col>7</xdr:col>
      <xdr:colOff>54473</xdr:colOff>
      <xdr:row>72</xdr:row>
      <xdr:rowOff>11526</xdr:rowOff>
    </xdr:from>
    <xdr:to>
      <xdr:col>9</xdr:col>
      <xdr:colOff>282116</xdr:colOff>
      <xdr:row>75</xdr:row>
      <xdr:rowOff>157781</xdr:rowOff>
    </xdr:to>
    <xdr:sp macro="" textlink="">
      <xdr:nvSpPr>
        <xdr:cNvPr id="84" name="Rond hoek zelfde zijde rechthoek 83"/>
        <xdr:cNvSpPr/>
      </xdr:nvSpPr>
      <xdr:spPr>
        <a:xfrm>
          <a:off x="4284887" y="13254560"/>
          <a:ext cx="1436332" cy="69804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Financieel systeem</a:t>
          </a:r>
        </a:p>
      </xdr:txBody>
    </xdr:sp>
    <xdr:clientData/>
  </xdr:twoCellAnchor>
  <xdr:twoCellAnchor>
    <xdr:from>
      <xdr:col>4</xdr:col>
      <xdr:colOff>275906</xdr:colOff>
      <xdr:row>72</xdr:row>
      <xdr:rowOff>11556</xdr:rowOff>
    </xdr:from>
    <xdr:to>
      <xdr:col>6</xdr:col>
      <xdr:colOff>498673</xdr:colOff>
      <xdr:row>75</xdr:row>
      <xdr:rowOff>159351</xdr:rowOff>
    </xdr:to>
    <xdr:sp macro="" textlink="">
      <xdr:nvSpPr>
        <xdr:cNvPr id="85" name="Rond hoek zelfde zijde rechthoek 84"/>
        <xdr:cNvSpPr/>
      </xdr:nvSpPr>
      <xdr:spPr>
        <a:xfrm>
          <a:off x="2693285" y="13254590"/>
          <a:ext cx="1431457" cy="69958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DigiD</a:t>
          </a:r>
        </a:p>
      </xdr:txBody>
    </xdr:sp>
    <xdr:clientData/>
  </xdr:twoCellAnchor>
  <xdr:twoCellAnchor>
    <xdr:from>
      <xdr:col>1</xdr:col>
      <xdr:colOff>467129</xdr:colOff>
      <xdr:row>72</xdr:row>
      <xdr:rowOff>11527</xdr:rowOff>
    </xdr:from>
    <xdr:to>
      <xdr:col>4</xdr:col>
      <xdr:colOff>85172</xdr:colOff>
      <xdr:row>75</xdr:row>
      <xdr:rowOff>157781</xdr:rowOff>
    </xdr:to>
    <xdr:sp macro="" textlink="">
      <xdr:nvSpPr>
        <xdr:cNvPr id="86" name="Rond hoek zelfde zijde rechthoek 85"/>
        <xdr:cNvSpPr/>
      </xdr:nvSpPr>
      <xdr:spPr>
        <a:xfrm>
          <a:off x="1076729" y="13705756"/>
          <a:ext cx="1446843" cy="70142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Itsme</a:t>
          </a:r>
        </a:p>
      </xdr:txBody>
    </xdr:sp>
    <xdr:clientData/>
  </xdr:twoCellAnchor>
  <xdr:twoCellAnchor>
    <xdr:from>
      <xdr:col>7</xdr:col>
      <xdr:colOff>54473</xdr:colOff>
      <xdr:row>82</xdr:row>
      <xdr:rowOff>21663</xdr:rowOff>
    </xdr:from>
    <xdr:to>
      <xdr:col>9</xdr:col>
      <xdr:colOff>282116</xdr:colOff>
      <xdr:row>85</xdr:row>
      <xdr:rowOff>161538</xdr:rowOff>
    </xdr:to>
    <xdr:sp macro="" textlink="">
      <xdr:nvSpPr>
        <xdr:cNvPr id="95" name="Rond hoek zelfde zijde rechthoek 94"/>
        <xdr:cNvSpPr/>
      </xdr:nvSpPr>
      <xdr:spPr>
        <a:xfrm>
          <a:off x="4284887" y="15104008"/>
          <a:ext cx="1436332"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ZDS 2.0</a:t>
          </a:r>
        </a:p>
      </xdr:txBody>
    </xdr:sp>
    <xdr:clientData/>
  </xdr:twoCellAnchor>
  <xdr:twoCellAnchor>
    <xdr:from>
      <xdr:col>9</xdr:col>
      <xdr:colOff>554842</xdr:colOff>
      <xdr:row>82</xdr:row>
      <xdr:rowOff>21663</xdr:rowOff>
    </xdr:from>
    <xdr:to>
      <xdr:col>12</xdr:col>
      <xdr:colOff>172885</xdr:colOff>
      <xdr:row>85</xdr:row>
      <xdr:rowOff>161538</xdr:rowOff>
    </xdr:to>
    <xdr:sp macro="" textlink="">
      <xdr:nvSpPr>
        <xdr:cNvPr id="99" name="Rond hoek zelfde zijde rechthoek 98"/>
        <xdr:cNvSpPr/>
      </xdr:nvSpPr>
      <xdr:spPr>
        <a:xfrm>
          <a:off x="5993945" y="15104008"/>
          <a:ext cx="1431078"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Business rules</a:t>
          </a:r>
        </a:p>
      </xdr:txBody>
    </xdr:sp>
    <xdr:clientData/>
  </xdr:twoCellAnchor>
  <xdr:twoCellAnchor>
    <xdr:from>
      <xdr:col>4</xdr:col>
      <xdr:colOff>275906</xdr:colOff>
      <xdr:row>82</xdr:row>
      <xdr:rowOff>21663</xdr:rowOff>
    </xdr:from>
    <xdr:to>
      <xdr:col>6</xdr:col>
      <xdr:colOff>498673</xdr:colOff>
      <xdr:row>85</xdr:row>
      <xdr:rowOff>161538</xdr:rowOff>
    </xdr:to>
    <xdr:sp macro="" textlink="">
      <xdr:nvSpPr>
        <xdr:cNvPr id="103" name="Rond hoek zelfde zijde rechthoek 102"/>
        <xdr:cNvSpPr/>
      </xdr:nvSpPr>
      <xdr:spPr>
        <a:xfrm>
          <a:off x="2693285" y="15104008"/>
          <a:ext cx="1431457"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Machtigingen</a:t>
          </a:r>
        </a:p>
      </xdr:txBody>
    </xdr:sp>
    <xdr:clientData/>
  </xdr:twoCellAnchor>
  <xdr:twoCellAnchor>
    <xdr:from>
      <xdr:col>1</xdr:col>
      <xdr:colOff>467129</xdr:colOff>
      <xdr:row>82</xdr:row>
      <xdr:rowOff>21663</xdr:rowOff>
    </xdr:from>
    <xdr:to>
      <xdr:col>4</xdr:col>
      <xdr:colOff>85172</xdr:colOff>
      <xdr:row>85</xdr:row>
      <xdr:rowOff>161538</xdr:rowOff>
    </xdr:to>
    <xdr:sp macro="" textlink="">
      <xdr:nvSpPr>
        <xdr:cNvPr id="97" name="Rond hoek zelfde zijde rechthoek 96"/>
        <xdr:cNvSpPr/>
      </xdr:nvSpPr>
      <xdr:spPr>
        <a:xfrm>
          <a:off x="1071474" y="15104008"/>
          <a:ext cx="1431077" cy="69166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BRP (landelijk)</a:t>
          </a:r>
        </a:p>
      </xdr:txBody>
    </xdr:sp>
    <xdr:clientData/>
  </xdr:twoCellAnchor>
  <xdr:twoCellAnchor>
    <xdr:from>
      <xdr:col>9</xdr:col>
      <xdr:colOff>585157</xdr:colOff>
      <xdr:row>77</xdr:row>
      <xdr:rowOff>33016</xdr:rowOff>
    </xdr:from>
    <xdr:to>
      <xdr:col>12</xdr:col>
      <xdr:colOff>203200</xdr:colOff>
      <xdr:row>80</xdr:row>
      <xdr:rowOff>178239</xdr:rowOff>
    </xdr:to>
    <xdr:sp macro="" textlink="">
      <xdr:nvSpPr>
        <xdr:cNvPr id="179" name="Rond hoek zelfde zijde rechthoek 178"/>
        <xdr:cNvSpPr/>
      </xdr:nvSpPr>
      <xdr:spPr>
        <a:xfrm>
          <a:off x="6024260" y="14195706"/>
          <a:ext cx="1431078" cy="69701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Order</a:t>
          </a:r>
        </a:p>
      </xdr:txBody>
    </xdr:sp>
    <xdr:clientData/>
  </xdr:twoCellAnchor>
  <xdr:twoCellAnchor>
    <xdr:from>
      <xdr:col>15</xdr:col>
      <xdr:colOff>304800</xdr:colOff>
      <xdr:row>72</xdr:row>
      <xdr:rowOff>11892</xdr:rowOff>
    </xdr:from>
    <xdr:to>
      <xdr:col>17</xdr:col>
      <xdr:colOff>526993</xdr:colOff>
      <xdr:row>75</xdr:row>
      <xdr:rowOff>177764</xdr:rowOff>
    </xdr:to>
    <xdr:sp macro="" textlink="">
      <xdr:nvSpPr>
        <xdr:cNvPr id="180" name="Rond hoek zelfde zijde rechthoek 179"/>
        <xdr:cNvSpPr/>
      </xdr:nvSpPr>
      <xdr:spPr>
        <a:xfrm>
          <a:off x="9369972" y="13254926"/>
          <a:ext cx="1430883" cy="717666"/>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BRI</a:t>
          </a:r>
        </a:p>
      </xdr:txBody>
    </xdr:sp>
    <xdr:clientData/>
  </xdr:twoCellAnchor>
  <xdr:twoCellAnchor>
    <xdr:from>
      <xdr:col>18</xdr:col>
      <xdr:colOff>178774</xdr:colOff>
      <xdr:row>67</xdr:row>
      <xdr:rowOff>12053</xdr:rowOff>
    </xdr:from>
    <xdr:to>
      <xdr:col>20</xdr:col>
      <xdr:colOff>400967</xdr:colOff>
      <xdr:row>70</xdr:row>
      <xdr:rowOff>170444</xdr:rowOff>
    </xdr:to>
    <xdr:sp macro="" textlink="">
      <xdr:nvSpPr>
        <xdr:cNvPr id="181" name="Rond hoek zelfde zijde rechthoek 180"/>
        <xdr:cNvSpPr/>
      </xdr:nvSpPr>
      <xdr:spPr>
        <a:xfrm>
          <a:off x="11056981" y="12335432"/>
          <a:ext cx="1430883" cy="71018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BAG</a:t>
          </a:r>
        </a:p>
      </xdr:txBody>
    </xdr:sp>
    <xdr:clientData/>
  </xdr:twoCellAnchor>
  <xdr:twoCellAnchor>
    <xdr:from>
      <xdr:col>18</xdr:col>
      <xdr:colOff>178774</xdr:colOff>
      <xdr:row>72</xdr:row>
      <xdr:rowOff>11892</xdr:rowOff>
    </xdr:from>
    <xdr:to>
      <xdr:col>20</xdr:col>
      <xdr:colOff>400967</xdr:colOff>
      <xdr:row>75</xdr:row>
      <xdr:rowOff>177763</xdr:rowOff>
    </xdr:to>
    <xdr:sp macro="" textlink="">
      <xdr:nvSpPr>
        <xdr:cNvPr id="182" name="Rond hoek zelfde zijde rechthoek 181"/>
        <xdr:cNvSpPr/>
      </xdr:nvSpPr>
      <xdr:spPr>
        <a:xfrm>
          <a:off x="11056981" y="13254926"/>
          <a:ext cx="1430883" cy="717665"/>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NHR</a:t>
          </a:r>
        </a:p>
      </xdr:txBody>
    </xdr:sp>
    <xdr:clientData/>
  </xdr:twoCellAnchor>
  <xdr:twoCellAnchor>
    <xdr:from>
      <xdr:col>18</xdr:col>
      <xdr:colOff>178774</xdr:colOff>
      <xdr:row>82</xdr:row>
      <xdr:rowOff>21989</xdr:rowOff>
    </xdr:from>
    <xdr:to>
      <xdr:col>20</xdr:col>
      <xdr:colOff>400967</xdr:colOff>
      <xdr:row>85</xdr:row>
      <xdr:rowOff>179348</xdr:rowOff>
    </xdr:to>
    <xdr:sp macro="" textlink="">
      <xdr:nvSpPr>
        <xdr:cNvPr id="183" name="Rond hoek zelfde zijde rechthoek 182"/>
        <xdr:cNvSpPr/>
      </xdr:nvSpPr>
      <xdr:spPr>
        <a:xfrm>
          <a:off x="11056981" y="15104334"/>
          <a:ext cx="1430883" cy="70915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BRK</a:t>
          </a:r>
        </a:p>
      </xdr:txBody>
    </xdr:sp>
    <xdr:clientData/>
  </xdr:twoCellAnchor>
  <xdr:twoCellAnchor>
    <xdr:from>
      <xdr:col>15</xdr:col>
      <xdr:colOff>304800</xdr:colOff>
      <xdr:row>82</xdr:row>
      <xdr:rowOff>21989</xdr:rowOff>
    </xdr:from>
    <xdr:to>
      <xdr:col>17</xdr:col>
      <xdr:colOff>526993</xdr:colOff>
      <xdr:row>85</xdr:row>
      <xdr:rowOff>179348</xdr:rowOff>
    </xdr:to>
    <xdr:sp macro="" textlink="">
      <xdr:nvSpPr>
        <xdr:cNvPr id="184" name="Rond hoek zelfde zijde rechthoek 183"/>
        <xdr:cNvSpPr/>
      </xdr:nvSpPr>
      <xdr:spPr>
        <a:xfrm>
          <a:off x="9369972" y="15104334"/>
          <a:ext cx="1430883" cy="70915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BRT</a:t>
          </a:r>
        </a:p>
      </xdr:txBody>
    </xdr:sp>
    <xdr:clientData/>
  </xdr:twoCellAnchor>
  <xdr:twoCellAnchor>
    <xdr:from>
      <xdr:col>15</xdr:col>
      <xdr:colOff>304800</xdr:colOff>
      <xdr:row>77</xdr:row>
      <xdr:rowOff>13398</xdr:rowOff>
    </xdr:from>
    <xdr:to>
      <xdr:col>17</xdr:col>
      <xdr:colOff>522117</xdr:colOff>
      <xdr:row>80</xdr:row>
      <xdr:rowOff>178238</xdr:rowOff>
    </xdr:to>
    <xdr:sp macro="" textlink="">
      <xdr:nvSpPr>
        <xdr:cNvPr id="185" name="Rond hoek zelfde zijde rechthoek 184"/>
        <xdr:cNvSpPr/>
      </xdr:nvSpPr>
      <xdr:spPr>
        <a:xfrm>
          <a:off x="9369972" y="14176088"/>
          <a:ext cx="1426007" cy="716633"/>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BGT</a:t>
          </a:r>
        </a:p>
      </xdr:txBody>
    </xdr:sp>
    <xdr:clientData/>
  </xdr:twoCellAnchor>
  <xdr:twoCellAnchor>
    <xdr:from>
      <xdr:col>18</xdr:col>
      <xdr:colOff>183650</xdr:colOff>
      <xdr:row>77</xdr:row>
      <xdr:rowOff>10828</xdr:rowOff>
    </xdr:from>
    <xdr:to>
      <xdr:col>20</xdr:col>
      <xdr:colOff>400967</xdr:colOff>
      <xdr:row>80</xdr:row>
      <xdr:rowOff>178239</xdr:rowOff>
    </xdr:to>
    <xdr:sp macro="" textlink="">
      <xdr:nvSpPr>
        <xdr:cNvPr id="186" name="Rond hoek zelfde zijde rechthoek 185"/>
        <xdr:cNvSpPr/>
      </xdr:nvSpPr>
      <xdr:spPr>
        <a:xfrm>
          <a:off x="11061857" y="14173518"/>
          <a:ext cx="1426007" cy="71920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BRV</a:t>
          </a:r>
        </a:p>
      </xdr:txBody>
    </xdr:sp>
    <xdr:clientData/>
  </xdr:twoCellAnchor>
  <xdr:twoCellAnchor>
    <xdr:from>
      <xdr:col>15</xdr:col>
      <xdr:colOff>304800</xdr:colOff>
      <xdr:row>67</xdr:row>
      <xdr:rowOff>12053</xdr:rowOff>
    </xdr:from>
    <xdr:to>
      <xdr:col>17</xdr:col>
      <xdr:colOff>526993</xdr:colOff>
      <xdr:row>70</xdr:row>
      <xdr:rowOff>170444</xdr:rowOff>
    </xdr:to>
    <xdr:sp macro="" textlink="">
      <xdr:nvSpPr>
        <xdr:cNvPr id="187" name="Rond hoek zelfde zijde rechthoek 186"/>
        <xdr:cNvSpPr/>
      </xdr:nvSpPr>
      <xdr:spPr>
        <a:xfrm>
          <a:off x="9369972" y="12335432"/>
          <a:ext cx="1430883" cy="71018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WOZ</a:t>
          </a:r>
        </a:p>
      </xdr:txBody>
    </xdr:sp>
    <xdr:clientData/>
  </xdr:twoCellAnchor>
  <xdr:twoCellAnchor>
    <xdr:from>
      <xdr:col>12</xdr:col>
      <xdr:colOff>444921</xdr:colOff>
      <xdr:row>77</xdr:row>
      <xdr:rowOff>13398</xdr:rowOff>
    </xdr:from>
    <xdr:to>
      <xdr:col>15</xdr:col>
      <xdr:colOff>45502</xdr:colOff>
      <xdr:row>80</xdr:row>
      <xdr:rowOff>178238</xdr:rowOff>
    </xdr:to>
    <xdr:sp macro="" textlink="">
      <xdr:nvSpPr>
        <xdr:cNvPr id="188" name="Rond hoek zelfde zijde rechthoek 187"/>
        <xdr:cNvSpPr/>
      </xdr:nvSpPr>
      <xdr:spPr>
        <a:xfrm>
          <a:off x="7782699" y="13776435"/>
          <a:ext cx="1435025" cy="701062"/>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PDC</a:t>
          </a:r>
        </a:p>
      </xdr:txBody>
    </xdr:sp>
    <xdr:clientData/>
  </xdr:twoCellAnchor>
  <xdr:twoCellAnchor>
    <xdr:from>
      <xdr:col>35</xdr:col>
      <xdr:colOff>165100</xdr:colOff>
      <xdr:row>44</xdr:row>
      <xdr:rowOff>135526</xdr:rowOff>
    </xdr:from>
    <xdr:to>
      <xdr:col>38</xdr:col>
      <xdr:colOff>317500</xdr:colOff>
      <xdr:row>78</xdr:row>
      <xdr:rowOff>171449</xdr:rowOff>
    </xdr:to>
    <xdr:sp macro="" textlink="">
      <xdr:nvSpPr>
        <xdr:cNvPr id="157" name="Rechthoek 156"/>
        <xdr:cNvSpPr/>
      </xdr:nvSpPr>
      <xdr:spPr>
        <a:xfrm>
          <a:off x="21501100" y="8377826"/>
          <a:ext cx="1981200" cy="6093823"/>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Legenda</a:t>
          </a:r>
        </a:p>
      </xdr:txBody>
    </xdr:sp>
    <xdr:clientData/>
  </xdr:twoCellAnchor>
  <xdr:twoCellAnchor>
    <xdr:from>
      <xdr:col>35</xdr:col>
      <xdr:colOff>432012</xdr:colOff>
      <xdr:row>48</xdr:row>
      <xdr:rowOff>43230</xdr:rowOff>
    </xdr:from>
    <xdr:to>
      <xdr:col>38</xdr:col>
      <xdr:colOff>56092</xdr:colOff>
      <xdr:row>50</xdr:row>
      <xdr:rowOff>8800</xdr:rowOff>
    </xdr:to>
    <xdr:sp macro="" textlink="">
      <xdr:nvSpPr>
        <xdr:cNvPr id="3" name="Rond hoek zelfde zijde rechthoek 2"/>
        <xdr:cNvSpPr/>
      </xdr:nvSpPr>
      <xdr:spPr>
        <a:xfrm>
          <a:off x="21768012" y="9263430"/>
          <a:ext cx="1452880" cy="346570"/>
        </a:xfrm>
        <a:prstGeom prst="round2SameRect">
          <a:avLst/>
        </a:prstGeom>
        <a:solidFill>
          <a:schemeClr val="bg1">
            <a:lumMod val="75000"/>
          </a:schemeClr>
        </a:solidFill>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R&amp;D</a:t>
          </a:r>
        </a:p>
      </xdr:txBody>
    </xdr:sp>
    <xdr:clientData/>
  </xdr:twoCellAnchor>
  <xdr:twoCellAnchor>
    <xdr:from>
      <xdr:col>35</xdr:col>
      <xdr:colOff>432012</xdr:colOff>
      <xdr:row>50</xdr:row>
      <xdr:rowOff>175869</xdr:rowOff>
    </xdr:from>
    <xdr:to>
      <xdr:col>38</xdr:col>
      <xdr:colOff>56092</xdr:colOff>
      <xdr:row>52</xdr:row>
      <xdr:rowOff>140528</xdr:rowOff>
    </xdr:to>
    <xdr:sp macro="" textlink="">
      <xdr:nvSpPr>
        <xdr:cNvPr id="4" name="Rond hoek zelfde zijde rechthoek 3"/>
        <xdr:cNvSpPr/>
      </xdr:nvSpPr>
      <xdr:spPr>
        <a:xfrm>
          <a:off x="21768012" y="9777069"/>
          <a:ext cx="1452880" cy="345659"/>
        </a:xfrm>
        <a:prstGeom prst="round2SameRect">
          <a:avLst/>
        </a:prstGeom>
        <a:ln>
          <a:headEnd type="none" w="med" len="med"/>
          <a:tailEnd type="none" w="med" len="med"/>
        </a:ln>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Live</a:t>
          </a:r>
        </a:p>
      </xdr:txBody>
    </xdr:sp>
    <xdr:clientData/>
  </xdr:twoCellAnchor>
  <xdr:twoCellAnchor>
    <xdr:from>
      <xdr:col>35</xdr:col>
      <xdr:colOff>432012</xdr:colOff>
      <xdr:row>53</xdr:row>
      <xdr:rowOff>91977</xdr:rowOff>
    </xdr:from>
    <xdr:to>
      <xdr:col>38</xdr:col>
      <xdr:colOff>56092</xdr:colOff>
      <xdr:row>55</xdr:row>
      <xdr:rowOff>60527</xdr:rowOff>
    </xdr:to>
    <xdr:sp macro="" textlink="">
      <xdr:nvSpPr>
        <xdr:cNvPr id="5" name="Rond hoek zelfde zijde rechthoek 4"/>
        <xdr:cNvSpPr/>
      </xdr:nvSpPr>
      <xdr:spPr>
        <a:xfrm>
          <a:off x="21768012" y="10264677"/>
          <a:ext cx="1452880" cy="349550"/>
        </a:xfrm>
        <a:prstGeom prst="round2SameRect">
          <a:avLst/>
        </a:prstGeom>
        <a:ln>
          <a:headEnd type="none" w="med" len="med"/>
          <a:tailEnd type="none" w="med" len="med"/>
        </a:ln>
      </xdr:spPr>
      <xdr:style>
        <a:lnRef idx="0">
          <a:schemeClr val="accent6"/>
        </a:lnRef>
        <a:fillRef idx="3">
          <a:schemeClr val="accent6"/>
        </a:fillRef>
        <a:effectRef idx="3">
          <a:schemeClr val="accent6"/>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Doing</a:t>
          </a:r>
        </a:p>
      </xdr:txBody>
    </xdr:sp>
    <xdr:clientData/>
  </xdr:twoCellAnchor>
  <xdr:twoCellAnchor>
    <xdr:from>
      <xdr:col>1</xdr:col>
      <xdr:colOff>159845</xdr:colOff>
      <xdr:row>18</xdr:row>
      <xdr:rowOff>177800</xdr:rowOff>
    </xdr:from>
    <xdr:to>
      <xdr:col>38</xdr:col>
      <xdr:colOff>326040</xdr:colOff>
      <xdr:row>42</xdr:row>
      <xdr:rowOff>104310</xdr:rowOff>
    </xdr:to>
    <xdr:sp macro="" textlink="">
      <xdr:nvSpPr>
        <xdr:cNvPr id="23" name="Rechthoek 22"/>
        <xdr:cNvSpPr/>
      </xdr:nvSpPr>
      <xdr:spPr>
        <a:xfrm>
          <a:off x="769445" y="3543300"/>
          <a:ext cx="22721395" cy="4396910"/>
        </a:xfrm>
        <a:prstGeom prst="rect">
          <a:avLst/>
        </a:prstGeom>
        <a:ln>
          <a:headEnd type="none" w="med" len="med"/>
          <a:tailEnd type="none" w="med" len="med"/>
        </a:ln>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marL="0" indent="0" algn="l"/>
          <a:r>
            <a:rPr lang="nl-NL" sz="1600" b="1">
              <a:solidFill>
                <a:schemeClr val="tx2">
                  <a:lumMod val="75000"/>
                </a:schemeClr>
              </a:solidFill>
              <a:latin typeface="+mn-lt"/>
              <a:ea typeface="+mn-ea"/>
              <a:cs typeface="+mn-cs"/>
            </a:rPr>
            <a:t>Modules / componenten</a:t>
          </a:r>
        </a:p>
      </xdr:txBody>
    </xdr:sp>
    <xdr:clientData/>
  </xdr:twoCellAnchor>
  <xdr:twoCellAnchor>
    <xdr:from>
      <xdr:col>1</xdr:col>
      <xdr:colOff>434869</xdr:colOff>
      <xdr:row>21</xdr:row>
      <xdr:rowOff>166235</xdr:rowOff>
    </xdr:from>
    <xdr:to>
      <xdr:col>4</xdr:col>
      <xdr:colOff>58299</xdr:colOff>
      <xdr:row>25</xdr:row>
      <xdr:rowOff>127483</xdr:rowOff>
    </xdr:to>
    <xdr:sp macro="" textlink="">
      <xdr:nvSpPr>
        <xdr:cNvPr id="7" name="Rond hoek zelfde zijde rechthoek 6"/>
        <xdr:cNvSpPr/>
      </xdr:nvSpPr>
      <xdr:spPr>
        <a:xfrm>
          <a:off x="1044469" y="4141335"/>
          <a:ext cx="1452230" cy="723248"/>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Klantvraag editor</a:t>
          </a:r>
        </a:p>
      </xdr:txBody>
    </xdr:sp>
    <xdr:clientData/>
  </xdr:twoCellAnchor>
  <xdr:twoCellAnchor>
    <xdr:from>
      <xdr:col>7</xdr:col>
      <xdr:colOff>22213</xdr:colOff>
      <xdr:row>21</xdr:row>
      <xdr:rowOff>166235</xdr:rowOff>
    </xdr:from>
    <xdr:to>
      <xdr:col>9</xdr:col>
      <xdr:colOff>255243</xdr:colOff>
      <xdr:row>25</xdr:row>
      <xdr:rowOff>127483</xdr:rowOff>
    </xdr:to>
    <xdr:sp macro="" textlink="">
      <xdr:nvSpPr>
        <xdr:cNvPr id="9" name="Rond hoek zelfde zijde rechthoek 8"/>
        <xdr:cNvSpPr/>
      </xdr:nvSpPr>
      <xdr:spPr>
        <a:xfrm>
          <a:off x="4289413" y="4141335"/>
          <a:ext cx="1452230" cy="72324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Notificatie  module</a:t>
          </a:r>
        </a:p>
      </xdr:txBody>
    </xdr:sp>
    <xdr:clientData/>
  </xdr:twoCellAnchor>
  <xdr:twoCellAnchor>
    <xdr:from>
      <xdr:col>9</xdr:col>
      <xdr:colOff>522582</xdr:colOff>
      <xdr:row>21</xdr:row>
      <xdr:rowOff>166235</xdr:rowOff>
    </xdr:from>
    <xdr:to>
      <xdr:col>12</xdr:col>
      <xdr:colOff>146012</xdr:colOff>
      <xdr:row>25</xdr:row>
      <xdr:rowOff>127483</xdr:rowOff>
    </xdr:to>
    <xdr:sp macro="" textlink="">
      <xdr:nvSpPr>
        <xdr:cNvPr id="11" name="Rond hoek zelfde zijde rechthoek 10"/>
        <xdr:cNvSpPr/>
      </xdr:nvSpPr>
      <xdr:spPr>
        <a:xfrm>
          <a:off x="6008982" y="4141335"/>
          <a:ext cx="1452230" cy="723248"/>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Winkelwagen</a:t>
          </a:r>
        </a:p>
      </xdr:txBody>
    </xdr:sp>
    <xdr:clientData/>
  </xdr:twoCellAnchor>
  <xdr:twoCellAnchor>
    <xdr:from>
      <xdr:col>12</xdr:col>
      <xdr:colOff>402417</xdr:colOff>
      <xdr:row>21</xdr:row>
      <xdr:rowOff>166235</xdr:rowOff>
    </xdr:from>
    <xdr:to>
      <xdr:col>15</xdr:col>
      <xdr:colOff>25847</xdr:colOff>
      <xdr:row>25</xdr:row>
      <xdr:rowOff>127483</xdr:rowOff>
    </xdr:to>
    <xdr:sp macro="" textlink="">
      <xdr:nvSpPr>
        <xdr:cNvPr id="13" name="Rond hoek zelfde zijde rechthoek 12"/>
        <xdr:cNvSpPr/>
      </xdr:nvSpPr>
      <xdr:spPr>
        <a:xfrm>
          <a:off x="7717617" y="4141335"/>
          <a:ext cx="1452230" cy="723248"/>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Betaalmodule</a:t>
          </a:r>
        </a:p>
      </xdr:txBody>
    </xdr:sp>
    <xdr:clientData/>
  </xdr:twoCellAnchor>
  <xdr:twoCellAnchor>
    <xdr:from>
      <xdr:col>1</xdr:col>
      <xdr:colOff>434869</xdr:colOff>
      <xdr:row>26</xdr:row>
      <xdr:rowOff>157086</xdr:rowOff>
    </xdr:from>
    <xdr:to>
      <xdr:col>4</xdr:col>
      <xdr:colOff>58299</xdr:colOff>
      <xdr:row>30</xdr:row>
      <xdr:rowOff>156433</xdr:rowOff>
    </xdr:to>
    <xdr:sp macro="" textlink="">
      <xdr:nvSpPr>
        <xdr:cNvPr id="15" name="Rond hoek zelfde zijde rechthoek 14"/>
        <xdr:cNvSpPr/>
      </xdr:nvSpPr>
      <xdr:spPr>
        <a:xfrm>
          <a:off x="1044469" y="5071986"/>
          <a:ext cx="1452230" cy="723247"/>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Upload module</a:t>
          </a:r>
        </a:p>
      </xdr:txBody>
    </xdr:sp>
    <xdr:clientData/>
  </xdr:twoCellAnchor>
  <xdr:twoCellAnchor>
    <xdr:from>
      <xdr:col>4</xdr:col>
      <xdr:colOff>243646</xdr:colOff>
      <xdr:row>26</xdr:row>
      <xdr:rowOff>157086</xdr:rowOff>
    </xdr:from>
    <xdr:to>
      <xdr:col>6</xdr:col>
      <xdr:colOff>471800</xdr:colOff>
      <xdr:row>30</xdr:row>
      <xdr:rowOff>156433</xdr:rowOff>
    </xdr:to>
    <xdr:sp macro="" textlink="">
      <xdr:nvSpPr>
        <xdr:cNvPr id="21" name="Rond hoek zelfde zijde rechthoek 20"/>
        <xdr:cNvSpPr/>
      </xdr:nvSpPr>
      <xdr:spPr>
        <a:xfrm>
          <a:off x="2682046" y="5071986"/>
          <a:ext cx="1447354"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Agenda module</a:t>
          </a:r>
        </a:p>
      </xdr:txBody>
    </xdr:sp>
    <xdr:clientData/>
  </xdr:twoCellAnchor>
  <xdr:twoCellAnchor>
    <xdr:from>
      <xdr:col>4</xdr:col>
      <xdr:colOff>243646</xdr:colOff>
      <xdr:row>21</xdr:row>
      <xdr:rowOff>166235</xdr:rowOff>
    </xdr:from>
    <xdr:to>
      <xdr:col>6</xdr:col>
      <xdr:colOff>471800</xdr:colOff>
      <xdr:row>25</xdr:row>
      <xdr:rowOff>127483</xdr:rowOff>
    </xdr:to>
    <xdr:sp macro="" textlink="">
      <xdr:nvSpPr>
        <xdr:cNvPr id="22" name="Rond hoek zelfde zijde rechthoek 21"/>
        <xdr:cNvSpPr/>
      </xdr:nvSpPr>
      <xdr:spPr>
        <a:xfrm>
          <a:off x="2682046" y="4141335"/>
          <a:ext cx="1447354" cy="723248"/>
        </a:xfrm>
        <a:prstGeom prst="round2SameRect">
          <a:avLst/>
        </a:prstGeom>
        <a:solidFill>
          <a:srgbClr val="558ED5"/>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Inlogmodule</a:t>
          </a:r>
        </a:p>
      </xdr:txBody>
    </xdr:sp>
    <xdr:clientData/>
  </xdr:twoCellAnchor>
  <xdr:twoCellAnchor>
    <xdr:from>
      <xdr:col>15</xdr:col>
      <xdr:colOff>304800</xdr:colOff>
      <xdr:row>21</xdr:row>
      <xdr:rowOff>166235</xdr:rowOff>
    </xdr:from>
    <xdr:to>
      <xdr:col>17</xdr:col>
      <xdr:colOff>532954</xdr:colOff>
      <xdr:row>25</xdr:row>
      <xdr:rowOff>127483</xdr:rowOff>
    </xdr:to>
    <xdr:sp macro="" textlink="">
      <xdr:nvSpPr>
        <xdr:cNvPr id="50" name="Rond hoek zelfde zijde rechthoek 49"/>
        <xdr:cNvSpPr/>
      </xdr:nvSpPr>
      <xdr:spPr>
        <a:xfrm>
          <a:off x="9448800" y="4242935"/>
          <a:ext cx="1447354" cy="72324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Zoek (vind) module</a:t>
          </a:r>
        </a:p>
      </xdr:txBody>
    </xdr:sp>
    <xdr:clientData/>
  </xdr:twoCellAnchor>
  <xdr:twoCellAnchor>
    <xdr:from>
      <xdr:col>12</xdr:col>
      <xdr:colOff>402417</xdr:colOff>
      <xdr:row>26</xdr:row>
      <xdr:rowOff>157086</xdr:rowOff>
    </xdr:from>
    <xdr:to>
      <xdr:col>15</xdr:col>
      <xdr:colOff>25847</xdr:colOff>
      <xdr:row>30</xdr:row>
      <xdr:rowOff>156433</xdr:rowOff>
    </xdr:to>
    <xdr:sp macro="" textlink="">
      <xdr:nvSpPr>
        <xdr:cNvPr id="52" name="Rond hoek zelfde zijde rechthoek 51"/>
        <xdr:cNvSpPr/>
      </xdr:nvSpPr>
      <xdr:spPr>
        <a:xfrm>
          <a:off x="7717617" y="5071986"/>
          <a:ext cx="1452230" cy="723247"/>
        </a:xfrm>
        <a:prstGeom prst="round2SameRect">
          <a:avLst/>
        </a:prstGeom>
        <a:solidFill>
          <a:schemeClr val="tx2">
            <a:lumMod val="60000"/>
            <a:lumOff val="40000"/>
          </a:schemeClr>
        </a:solidFill>
        <a:ln>
          <a:solidFill>
            <a:schemeClr val="tx2">
              <a:lumMod val="60000"/>
              <a:lumOff val="40000"/>
            </a:schemeClr>
          </a:solidFill>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Order module</a:t>
          </a:r>
        </a:p>
      </xdr:txBody>
    </xdr:sp>
    <xdr:clientData/>
  </xdr:twoCellAnchor>
  <xdr:twoCellAnchor>
    <xdr:from>
      <xdr:col>18</xdr:col>
      <xdr:colOff>172812</xdr:colOff>
      <xdr:row>31</xdr:row>
      <xdr:rowOff>185584</xdr:rowOff>
    </xdr:from>
    <xdr:to>
      <xdr:col>20</xdr:col>
      <xdr:colOff>400967</xdr:colOff>
      <xdr:row>35</xdr:row>
      <xdr:rowOff>159531</xdr:rowOff>
    </xdr:to>
    <xdr:sp macro="" textlink="">
      <xdr:nvSpPr>
        <xdr:cNvPr id="58" name="Rond hoek zelfde zijde rechthoek 57"/>
        <xdr:cNvSpPr/>
      </xdr:nvSpPr>
      <xdr:spPr>
        <a:xfrm>
          <a:off x="11145612" y="6167284"/>
          <a:ext cx="1447355"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App Content Manager</a:t>
          </a:r>
        </a:p>
      </xdr:txBody>
    </xdr:sp>
    <xdr:clientData/>
  </xdr:twoCellAnchor>
  <xdr:twoCellAnchor>
    <xdr:from>
      <xdr:col>12</xdr:col>
      <xdr:colOff>402417</xdr:colOff>
      <xdr:row>31</xdr:row>
      <xdr:rowOff>185584</xdr:rowOff>
    </xdr:from>
    <xdr:to>
      <xdr:col>15</xdr:col>
      <xdr:colOff>25847</xdr:colOff>
      <xdr:row>35</xdr:row>
      <xdr:rowOff>159531</xdr:rowOff>
    </xdr:to>
    <xdr:sp macro="" textlink="">
      <xdr:nvSpPr>
        <xdr:cNvPr id="59" name="Rond hoek zelfde zijde rechthoek 58"/>
        <xdr:cNvSpPr/>
      </xdr:nvSpPr>
      <xdr:spPr>
        <a:xfrm>
          <a:off x="7717617" y="6167284"/>
          <a:ext cx="1452230"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Delen klantvraag</a:t>
          </a:r>
        </a:p>
      </xdr:txBody>
    </xdr:sp>
    <xdr:clientData/>
  </xdr:twoCellAnchor>
  <xdr:twoCellAnchor>
    <xdr:from>
      <xdr:col>15</xdr:col>
      <xdr:colOff>304800</xdr:colOff>
      <xdr:row>26</xdr:row>
      <xdr:rowOff>157086</xdr:rowOff>
    </xdr:from>
    <xdr:to>
      <xdr:col>17</xdr:col>
      <xdr:colOff>532954</xdr:colOff>
      <xdr:row>30</xdr:row>
      <xdr:rowOff>156433</xdr:rowOff>
    </xdr:to>
    <xdr:sp macro="" textlink="">
      <xdr:nvSpPr>
        <xdr:cNvPr id="68" name="Rond hoek zelfde zijde rechthoek 67"/>
        <xdr:cNvSpPr/>
      </xdr:nvSpPr>
      <xdr:spPr>
        <a:xfrm>
          <a:off x="9448800" y="5186286"/>
          <a:ext cx="1447354" cy="7613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Filter module</a:t>
          </a:r>
        </a:p>
      </xdr:txBody>
    </xdr:sp>
    <xdr:clientData/>
  </xdr:twoCellAnchor>
  <xdr:twoCellAnchor>
    <xdr:from>
      <xdr:col>7</xdr:col>
      <xdr:colOff>22213</xdr:colOff>
      <xdr:row>26</xdr:row>
      <xdr:rowOff>157086</xdr:rowOff>
    </xdr:from>
    <xdr:to>
      <xdr:col>9</xdr:col>
      <xdr:colOff>255243</xdr:colOff>
      <xdr:row>30</xdr:row>
      <xdr:rowOff>156433</xdr:rowOff>
    </xdr:to>
    <xdr:sp macro="" textlink="">
      <xdr:nvSpPr>
        <xdr:cNvPr id="70" name="Rond hoek zelfde zijde rechthoek 69"/>
        <xdr:cNvSpPr/>
      </xdr:nvSpPr>
      <xdr:spPr>
        <a:xfrm>
          <a:off x="4289413" y="5071986"/>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Onderteken module</a:t>
          </a:r>
        </a:p>
      </xdr:txBody>
    </xdr:sp>
    <xdr:clientData/>
  </xdr:twoCellAnchor>
  <xdr:twoCellAnchor>
    <xdr:from>
      <xdr:col>4</xdr:col>
      <xdr:colOff>243646</xdr:colOff>
      <xdr:row>31</xdr:row>
      <xdr:rowOff>185584</xdr:rowOff>
    </xdr:from>
    <xdr:to>
      <xdr:col>6</xdr:col>
      <xdr:colOff>471800</xdr:colOff>
      <xdr:row>35</xdr:row>
      <xdr:rowOff>159531</xdr:rowOff>
    </xdr:to>
    <xdr:sp macro="" textlink="">
      <xdr:nvSpPr>
        <xdr:cNvPr id="87" name="Rond hoek zelfde zijde rechthoek 86"/>
        <xdr:cNvSpPr/>
      </xdr:nvSpPr>
      <xdr:spPr>
        <a:xfrm>
          <a:off x="2682046" y="6167284"/>
          <a:ext cx="1447354"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Bibliotheek klantvragen</a:t>
          </a:r>
        </a:p>
      </xdr:txBody>
    </xdr:sp>
    <xdr:clientData/>
  </xdr:twoCellAnchor>
  <xdr:twoCellAnchor>
    <xdr:from>
      <xdr:col>18</xdr:col>
      <xdr:colOff>172812</xdr:colOff>
      <xdr:row>21</xdr:row>
      <xdr:rowOff>166235</xdr:rowOff>
    </xdr:from>
    <xdr:to>
      <xdr:col>20</xdr:col>
      <xdr:colOff>400967</xdr:colOff>
      <xdr:row>25</xdr:row>
      <xdr:rowOff>127483</xdr:rowOff>
    </xdr:to>
    <xdr:sp macro="" textlink="">
      <xdr:nvSpPr>
        <xdr:cNvPr id="89" name="Rond hoek zelfde zijde rechthoek 88"/>
        <xdr:cNvSpPr/>
      </xdr:nvSpPr>
      <xdr:spPr>
        <a:xfrm>
          <a:off x="11145612" y="4141335"/>
          <a:ext cx="1447355" cy="723248"/>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Locatiemodule</a:t>
          </a:r>
        </a:p>
      </xdr:txBody>
    </xdr:sp>
    <xdr:clientData/>
  </xdr:twoCellAnchor>
  <xdr:twoCellAnchor>
    <xdr:from>
      <xdr:col>7</xdr:col>
      <xdr:colOff>22213</xdr:colOff>
      <xdr:row>31</xdr:row>
      <xdr:rowOff>185584</xdr:rowOff>
    </xdr:from>
    <xdr:to>
      <xdr:col>9</xdr:col>
      <xdr:colOff>255243</xdr:colOff>
      <xdr:row>35</xdr:row>
      <xdr:rowOff>159531</xdr:rowOff>
    </xdr:to>
    <xdr:sp macro="" textlink="">
      <xdr:nvSpPr>
        <xdr:cNvPr id="91" name="Rond hoek zelfde zijde rechthoek 90"/>
        <xdr:cNvSpPr/>
      </xdr:nvSpPr>
      <xdr:spPr>
        <a:xfrm>
          <a:off x="4289413" y="6167284"/>
          <a:ext cx="1452230" cy="7359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Contacten</a:t>
          </a:r>
        </a:p>
      </xdr:txBody>
    </xdr:sp>
    <xdr:clientData/>
  </xdr:twoCellAnchor>
  <xdr:twoCellAnchor>
    <xdr:from>
      <xdr:col>18</xdr:col>
      <xdr:colOff>172812</xdr:colOff>
      <xdr:row>26</xdr:row>
      <xdr:rowOff>157086</xdr:rowOff>
    </xdr:from>
    <xdr:to>
      <xdr:col>20</xdr:col>
      <xdr:colOff>400967</xdr:colOff>
      <xdr:row>30</xdr:row>
      <xdr:rowOff>156433</xdr:rowOff>
    </xdr:to>
    <xdr:sp macro="" textlink="">
      <xdr:nvSpPr>
        <xdr:cNvPr id="101" name="Rond hoek zelfde zijde rechthoek 100"/>
        <xdr:cNvSpPr/>
      </xdr:nvSpPr>
      <xdr:spPr>
        <a:xfrm>
          <a:off x="11145612" y="5071986"/>
          <a:ext cx="1447355"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Machtigingen module</a:t>
          </a:r>
        </a:p>
      </xdr:txBody>
    </xdr:sp>
    <xdr:clientData/>
  </xdr:twoCellAnchor>
  <xdr:twoCellAnchor>
    <xdr:from>
      <xdr:col>9</xdr:col>
      <xdr:colOff>452770</xdr:colOff>
      <xdr:row>31</xdr:row>
      <xdr:rowOff>185584</xdr:rowOff>
    </xdr:from>
    <xdr:to>
      <xdr:col>12</xdr:col>
      <xdr:colOff>76200</xdr:colOff>
      <xdr:row>35</xdr:row>
      <xdr:rowOff>159531</xdr:rowOff>
    </xdr:to>
    <xdr:sp macro="" textlink="">
      <xdr:nvSpPr>
        <xdr:cNvPr id="177" name="Rond hoek zelfde zijde rechthoek 176"/>
        <xdr:cNvSpPr/>
      </xdr:nvSpPr>
      <xdr:spPr>
        <a:xfrm>
          <a:off x="5939170" y="6167284"/>
          <a:ext cx="1452230" cy="735947"/>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MijnContracten</a:t>
          </a:r>
        </a:p>
      </xdr:txBody>
    </xdr:sp>
    <xdr:clientData/>
  </xdr:twoCellAnchor>
  <xdr:twoCellAnchor>
    <xdr:from>
      <xdr:col>21</xdr:col>
      <xdr:colOff>45929</xdr:colOff>
      <xdr:row>21</xdr:row>
      <xdr:rowOff>166705</xdr:rowOff>
    </xdr:from>
    <xdr:to>
      <xdr:col>23</xdr:col>
      <xdr:colOff>278959</xdr:colOff>
      <xdr:row>25</xdr:row>
      <xdr:rowOff>127952</xdr:rowOff>
    </xdr:to>
    <xdr:sp macro="" textlink="">
      <xdr:nvSpPr>
        <xdr:cNvPr id="158" name="Rond hoek zelfde zijde rechthoek 157"/>
        <xdr:cNvSpPr/>
      </xdr:nvSpPr>
      <xdr:spPr>
        <a:xfrm>
          <a:off x="12847529" y="4220545"/>
          <a:ext cx="1452230" cy="73848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Gegevens delen</a:t>
          </a:r>
        </a:p>
      </xdr:txBody>
    </xdr:sp>
    <xdr:clientData/>
  </xdr:twoCellAnchor>
  <xdr:twoCellAnchor>
    <xdr:from>
      <xdr:col>23</xdr:col>
      <xdr:colOff>510520</xdr:colOff>
      <xdr:row>32</xdr:row>
      <xdr:rowOff>7784</xdr:rowOff>
    </xdr:from>
    <xdr:to>
      <xdr:col>26</xdr:col>
      <xdr:colOff>133950</xdr:colOff>
      <xdr:row>35</xdr:row>
      <xdr:rowOff>159531</xdr:rowOff>
    </xdr:to>
    <xdr:sp macro="" textlink="">
      <xdr:nvSpPr>
        <xdr:cNvPr id="169" name="Rond hoek zelfde zijde rechthoek 168"/>
        <xdr:cNvSpPr/>
      </xdr:nvSpPr>
      <xdr:spPr>
        <a:xfrm>
          <a:off x="14531320" y="6179984"/>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Gebruikersbeheer</a:t>
          </a:r>
        </a:p>
      </xdr:txBody>
    </xdr:sp>
    <xdr:clientData/>
  </xdr:twoCellAnchor>
  <xdr:twoCellAnchor>
    <xdr:from>
      <xdr:col>23</xdr:col>
      <xdr:colOff>510520</xdr:colOff>
      <xdr:row>26</xdr:row>
      <xdr:rowOff>179405</xdr:rowOff>
    </xdr:from>
    <xdr:to>
      <xdr:col>26</xdr:col>
      <xdr:colOff>133950</xdr:colOff>
      <xdr:row>30</xdr:row>
      <xdr:rowOff>140652</xdr:rowOff>
    </xdr:to>
    <xdr:sp macro="" textlink="">
      <xdr:nvSpPr>
        <xdr:cNvPr id="170" name="Rond hoek zelfde zijde rechthoek 169"/>
        <xdr:cNvSpPr/>
      </xdr:nvSpPr>
      <xdr:spPr>
        <a:xfrm>
          <a:off x="14531320" y="5208605"/>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Afhandeling klantvragen</a:t>
          </a:r>
        </a:p>
      </xdr:txBody>
    </xdr:sp>
    <xdr:clientData/>
  </xdr:twoCellAnchor>
  <xdr:twoCellAnchor>
    <xdr:from>
      <xdr:col>21</xdr:col>
      <xdr:colOff>15449</xdr:colOff>
      <xdr:row>27</xdr:row>
      <xdr:rowOff>41488</xdr:rowOff>
    </xdr:from>
    <xdr:to>
      <xdr:col>23</xdr:col>
      <xdr:colOff>248479</xdr:colOff>
      <xdr:row>31</xdr:row>
      <xdr:rowOff>2735</xdr:rowOff>
    </xdr:to>
    <xdr:sp macro="" textlink="">
      <xdr:nvSpPr>
        <xdr:cNvPr id="172" name="Rond hoek zelfde zijde rechthoek 171"/>
        <xdr:cNvSpPr/>
      </xdr:nvSpPr>
      <xdr:spPr>
        <a:xfrm>
          <a:off x="12817049" y="5261188"/>
          <a:ext cx="1452230" cy="723247"/>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Life Events</a:t>
          </a:r>
        </a:p>
      </xdr:txBody>
    </xdr:sp>
    <xdr:clientData/>
  </xdr:twoCellAnchor>
  <xdr:twoCellAnchor>
    <xdr:from>
      <xdr:col>32</xdr:col>
      <xdr:colOff>148544</xdr:colOff>
      <xdr:row>21</xdr:row>
      <xdr:rowOff>159864</xdr:rowOff>
    </xdr:from>
    <xdr:to>
      <xdr:col>34</xdr:col>
      <xdr:colOff>365895</xdr:colOff>
      <xdr:row>25</xdr:row>
      <xdr:rowOff>127431</xdr:rowOff>
    </xdr:to>
    <xdr:sp macro="" textlink="">
      <xdr:nvSpPr>
        <xdr:cNvPr id="31" name="Rond hoek zelfde zijde rechthoek 30"/>
        <xdr:cNvSpPr/>
      </xdr:nvSpPr>
      <xdr:spPr>
        <a:xfrm>
          <a:off x="19655744" y="4236564"/>
          <a:ext cx="1436551" cy="7295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Voice &amp; speech</a:t>
          </a:r>
        </a:p>
      </xdr:txBody>
    </xdr:sp>
    <xdr:clientData/>
  </xdr:twoCellAnchor>
  <xdr:twoCellAnchor>
    <xdr:from>
      <xdr:col>26</xdr:col>
      <xdr:colOff>415040</xdr:colOff>
      <xdr:row>32</xdr:row>
      <xdr:rowOff>1464</xdr:rowOff>
    </xdr:from>
    <xdr:to>
      <xdr:col>29</xdr:col>
      <xdr:colOff>22790</xdr:colOff>
      <xdr:row>35</xdr:row>
      <xdr:rowOff>159531</xdr:rowOff>
    </xdr:to>
    <xdr:sp macro="" textlink="">
      <xdr:nvSpPr>
        <xdr:cNvPr id="32" name="Rond hoek zelfde zijde rechthoek 31"/>
        <xdr:cNvSpPr/>
      </xdr:nvSpPr>
      <xdr:spPr>
        <a:xfrm>
          <a:off x="16264640" y="6173664"/>
          <a:ext cx="1436550" cy="729567"/>
        </a:xfrm>
        <a:prstGeom prst="round2SameRect">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UI componenten</a:t>
          </a:r>
        </a:p>
      </xdr:txBody>
    </xdr:sp>
    <xdr:clientData/>
  </xdr:twoCellAnchor>
  <xdr:twoCellAnchor>
    <xdr:from>
      <xdr:col>26</xdr:col>
      <xdr:colOff>415040</xdr:colOff>
      <xdr:row>27</xdr:row>
      <xdr:rowOff>22656</xdr:rowOff>
    </xdr:from>
    <xdr:to>
      <xdr:col>29</xdr:col>
      <xdr:colOff>22791</xdr:colOff>
      <xdr:row>30</xdr:row>
      <xdr:rowOff>129923</xdr:rowOff>
    </xdr:to>
    <xdr:sp macro="" textlink="">
      <xdr:nvSpPr>
        <xdr:cNvPr id="54" name="Rond hoek zelfde zijde rechthoek 53"/>
        <xdr:cNvSpPr/>
      </xdr:nvSpPr>
      <xdr:spPr>
        <a:xfrm>
          <a:off x="16264640" y="5064556"/>
          <a:ext cx="1436551" cy="6533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ChatBot widget</a:t>
          </a:r>
        </a:p>
      </xdr:txBody>
    </xdr:sp>
    <xdr:clientData/>
  </xdr:twoCellAnchor>
  <xdr:twoCellAnchor>
    <xdr:from>
      <xdr:col>21</xdr:col>
      <xdr:colOff>15449</xdr:colOff>
      <xdr:row>31</xdr:row>
      <xdr:rowOff>165531</xdr:rowOff>
    </xdr:from>
    <xdr:to>
      <xdr:col>23</xdr:col>
      <xdr:colOff>226449</xdr:colOff>
      <xdr:row>35</xdr:row>
      <xdr:rowOff>159531</xdr:rowOff>
    </xdr:to>
    <xdr:sp macro="" textlink="">
      <xdr:nvSpPr>
        <xdr:cNvPr id="55" name="Rond hoek zelfde zijde rechthoek 54"/>
        <xdr:cNvSpPr/>
      </xdr:nvSpPr>
      <xdr:spPr>
        <a:xfrm>
          <a:off x="12817049" y="6147231"/>
          <a:ext cx="1430200" cy="75600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a:t>
          </a:r>
        </a:p>
      </xdr:txBody>
    </xdr:sp>
    <xdr:clientData/>
  </xdr:twoCellAnchor>
  <xdr:twoCellAnchor>
    <xdr:from>
      <xdr:col>32</xdr:col>
      <xdr:colOff>148113</xdr:colOff>
      <xdr:row>26</xdr:row>
      <xdr:rowOff>172564</xdr:rowOff>
    </xdr:from>
    <xdr:to>
      <xdr:col>34</xdr:col>
      <xdr:colOff>365464</xdr:colOff>
      <xdr:row>30</xdr:row>
      <xdr:rowOff>140131</xdr:rowOff>
    </xdr:to>
    <xdr:sp macro="" textlink="">
      <xdr:nvSpPr>
        <xdr:cNvPr id="104" name="Rond hoek zelfde zijde rechthoek 103"/>
        <xdr:cNvSpPr/>
      </xdr:nvSpPr>
      <xdr:spPr>
        <a:xfrm>
          <a:off x="19655313" y="5036664"/>
          <a:ext cx="1436551" cy="6914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Talk back module</a:t>
          </a:r>
        </a:p>
      </xdr:txBody>
    </xdr:sp>
    <xdr:clientData/>
  </xdr:twoCellAnchor>
  <xdr:twoCellAnchor>
    <xdr:from>
      <xdr:col>29</xdr:col>
      <xdr:colOff>319563</xdr:colOff>
      <xdr:row>21</xdr:row>
      <xdr:rowOff>181406</xdr:rowOff>
    </xdr:from>
    <xdr:to>
      <xdr:col>31</xdr:col>
      <xdr:colOff>536914</xdr:colOff>
      <xdr:row>25</xdr:row>
      <xdr:rowOff>110873</xdr:rowOff>
    </xdr:to>
    <xdr:sp macro="" textlink="">
      <xdr:nvSpPr>
        <xdr:cNvPr id="110" name="Rond hoek zelfde zijde rechthoek 109"/>
        <xdr:cNvSpPr/>
      </xdr:nvSpPr>
      <xdr:spPr>
        <a:xfrm>
          <a:off x="17997963" y="4258106"/>
          <a:ext cx="1436551" cy="6914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Virtuele assistent</a:t>
          </a:r>
        </a:p>
      </xdr:txBody>
    </xdr:sp>
    <xdr:clientData/>
  </xdr:twoCellAnchor>
  <xdr:twoCellAnchor>
    <xdr:from>
      <xdr:col>29</xdr:col>
      <xdr:colOff>319563</xdr:colOff>
      <xdr:row>27</xdr:row>
      <xdr:rowOff>22656</xdr:rowOff>
    </xdr:from>
    <xdr:to>
      <xdr:col>31</xdr:col>
      <xdr:colOff>536914</xdr:colOff>
      <xdr:row>30</xdr:row>
      <xdr:rowOff>129923</xdr:rowOff>
    </xdr:to>
    <xdr:sp macro="" textlink="">
      <xdr:nvSpPr>
        <xdr:cNvPr id="111" name="Rond hoek zelfde zijde rechthoek 110"/>
        <xdr:cNvSpPr/>
      </xdr:nvSpPr>
      <xdr:spPr>
        <a:xfrm>
          <a:off x="17997963" y="5064556"/>
          <a:ext cx="1436551" cy="65336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AR/VR</a:t>
          </a:r>
        </a:p>
      </xdr:txBody>
    </xdr:sp>
    <xdr:clientData/>
  </xdr:twoCellAnchor>
  <xdr:twoCellAnchor>
    <xdr:from>
      <xdr:col>29</xdr:col>
      <xdr:colOff>319563</xdr:colOff>
      <xdr:row>32</xdr:row>
      <xdr:rowOff>41112</xdr:rowOff>
    </xdr:from>
    <xdr:to>
      <xdr:col>31</xdr:col>
      <xdr:colOff>552593</xdr:colOff>
      <xdr:row>35</xdr:row>
      <xdr:rowOff>159531</xdr:rowOff>
    </xdr:to>
    <xdr:sp macro="" textlink="">
      <xdr:nvSpPr>
        <xdr:cNvPr id="178" name="Rond hoek zelfde zijde rechthoek 177"/>
        <xdr:cNvSpPr/>
      </xdr:nvSpPr>
      <xdr:spPr>
        <a:xfrm>
          <a:off x="17997963" y="6213312"/>
          <a:ext cx="1452230" cy="689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Personalisatie</a:t>
          </a:r>
        </a:p>
      </xdr:txBody>
    </xdr:sp>
    <xdr:clientData/>
  </xdr:twoCellAnchor>
  <xdr:twoCellAnchor>
    <xdr:from>
      <xdr:col>9</xdr:col>
      <xdr:colOff>530577</xdr:colOff>
      <xdr:row>57</xdr:row>
      <xdr:rowOff>159081</xdr:rowOff>
    </xdr:from>
    <xdr:to>
      <xdr:col>12</xdr:col>
      <xdr:colOff>138295</xdr:colOff>
      <xdr:row>61</xdr:row>
      <xdr:rowOff>140131</xdr:rowOff>
    </xdr:to>
    <xdr:sp macro="" textlink="">
      <xdr:nvSpPr>
        <xdr:cNvPr id="105" name="Rond hoek zelfde zijde rechthoek 104"/>
        <xdr:cNvSpPr/>
      </xdr:nvSpPr>
      <xdr:spPr>
        <a:xfrm>
          <a:off x="6016977" y="10725481"/>
          <a:ext cx="1436518" cy="69225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Aanbeveling / beoordeling</a:t>
          </a:r>
        </a:p>
      </xdr:txBody>
    </xdr:sp>
    <xdr:clientData/>
  </xdr:twoCellAnchor>
  <xdr:twoCellAnchor>
    <xdr:from>
      <xdr:col>12</xdr:col>
      <xdr:colOff>403103</xdr:colOff>
      <xdr:row>57</xdr:row>
      <xdr:rowOff>159081</xdr:rowOff>
    </xdr:from>
    <xdr:to>
      <xdr:col>15</xdr:col>
      <xdr:colOff>10820</xdr:colOff>
      <xdr:row>61</xdr:row>
      <xdr:rowOff>140131</xdr:rowOff>
    </xdr:to>
    <xdr:sp macro="" textlink="">
      <xdr:nvSpPr>
        <xdr:cNvPr id="106" name="Rond hoek zelfde zijde rechthoek 105"/>
        <xdr:cNvSpPr/>
      </xdr:nvSpPr>
      <xdr:spPr>
        <a:xfrm>
          <a:off x="7718303" y="10725481"/>
          <a:ext cx="1436517" cy="69225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ChatBot</a:t>
          </a:r>
        </a:p>
      </xdr:txBody>
    </xdr:sp>
    <xdr:clientData/>
  </xdr:twoCellAnchor>
  <xdr:twoCellAnchor>
    <xdr:from>
      <xdr:col>15</xdr:col>
      <xdr:colOff>301977</xdr:colOff>
      <xdr:row>57</xdr:row>
      <xdr:rowOff>151600</xdr:rowOff>
    </xdr:from>
    <xdr:to>
      <xdr:col>17</xdr:col>
      <xdr:colOff>519295</xdr:colOff>
      <xdr:row>61</xdr:row>
      <xdr:rowOff>140131</xdr:rowOff>
    </xdr:to>
    <xdr:sp macro="" textlink="">
      <xdr:nvSpPr>
        <xdr:cNvPr id="107" name="Rond hoek zelfde zijde rechthoek 106"/>
        <xdr:cNvSpPr/>
      </xdr:nvSpPr>
      <xdr:spPr>
        <a:xfrm>
          <a:off x="9445977" y="10718000"/>
          <a:ext cx="1436518" cy="699731"/>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Chat</a:t>
          </a:r>
        </a:p>
      </xdr:txBody>
    </xdr:sp>
    <xdr:clientData/>
  </xdr:twoCellAnchor>
  <xdr:twoCellAnchor>
    <xdr:from>
      <xdr:col>18</xdr:col>
      <xdr:colOff>190500</xdr:colOff>
      <xdr:row>57</xdr:row>
      <xdr:rowOff>161412</xdr:rowOff>
    </xdr:from>
    <xdr:to>
      <xdr:col>20</xdr:col>
      <xdr:colOff>423530</xdr:colOff>
      <xdr:row>61</xdr:row>
      <xdr:rowOff>140131</xdr:rowOff>
    </xdr:to>
    <xdr:sp macro="" textlink="">
      <xdr:nvSpPr>
        <xdr:cNvPr id="191" name="Rond hoek zelfde zijde rechthoek 190"/>
        <xdr:cNvSpPr/>
      </xdr:nvSpPr>
      <xdr:spPr>
        <a:xfrm>
          <a:off x="11163300" y="10727812"/>
          <a:ext cx="1452230" cy="689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Personalisatie</a:t>
          </a:r>
        </a:p>
      </xdr:txBody>
    </xdr:sp>
    <xdr:clientData/>
  </xdr:twoCellAnchor>
  <xdr:twoCellAnchor>
    <xdr:from>
      <xdr:col>26</xdr:col>
      <xdr:colOff>415040</xdr:colOff>
      <xdr:row>22</xdr:row>
      <xdr:rowOff>3666</xdr:rowOff>
    </xdr:from>
    <xdr:to>
      <xdr:col>29</xdr:col>
      <xdr:colOff>38470</xdr:colOff>
      <xdr:row>25</xdr:row>
      <xdr:rowOff>155413</xdr:rowOff>
    </xdr:to>
    <xdr:sp macro="" textlink="">
      <xdr:nvSpPr>
        <xdr:cNvPr id="145" name="Rond hoek zelfde zijde rechthoek 144"/>
        <xdr:cNvSpPr/>
      </xdr:nvSpPr>
      <xdr:spPr>
        <a:xfrm>
          <a:off x="16264640" y="4270866"/>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Evaluatie / klanttevredenheid</a:t>
          </a:r>
        </a:p>
      </xdr:txBody>
    </xdr:sp>
    <xdr:clientData/>
  </xdr:twoCellAnchor>
  <xdr:twoCellAnchor>
    <xdr:from>
      <xdr:col>23</xdr:col>
      <xdr:colOff>510520</xdr:colOff>
      <xdr:row>21</xdr:row>
      <xdr:rowOff>162416</xdr:rowOff>
    </xdr:from>
    <xdr:to>
      <xdr:col>26</xdr:col>
      <xdr:colOff>133950</xdr:colOff>
      <xdr:row>25</xdr:row>
      <xdr:rowOff>123663</xdr:rowOff>
    </xdr:to>
    <xdr:sp macro="" textlink="">
      <xdr:nvSpPr>
        <xdr:cNvPr id="146" name="Rond hoek zelfde zijde rechthoek 145"/>
        <xdr:cNvSpPr/>
      </xdr:nvSpPr>
      <xdr:spPr>
        <a:xfrm>
          <a:off x="14531320" y="4239116"/>
          <a:ext cx="1452230" cy="7232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Stemmodule</a:t>
          </a:r>
        </a:p>
      </xdr:txBody>
    </xdr:sp>
    <xdr:clientData/>
  </xdr:twoCellAnchor>
  <xdr:twoCellAnchor>
    <xdr:from>
      <xdr:col>4</xdr:col>
      <xdr:colOff>271186</xdr:colOff>
      <xdr:row>77</xdr:row>
      <xdr:rowOff>55232</xdr:rowOff>
    </xdr:from>
    <xdr:to>
      <xdr:col>6</xdr:col>
      <xdr:colOff>498829</xdr:colOff>
      <xdr:row>81</xdr:row>
      <xdr:rowOff>8947</xdr:rowOff>
    </xdr:to>
    <xdr:sp macro="" textlink="">
      <xdr:nvSpPr>
        <xdr:cNvPr id="147" name="Rond hoek zelfde zijde rechthoek 146"/>
        <xdr:cNvSpPr/>
      </xdr:nvSpPr>
      <xdr:spPr>
        <a:xfrm>
          <a:off x="2709586" y="14674746"/>
          <a:ext cx="1446843" cy="693944"/>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Verhuisorder </a:t>
          </a:r>
        </a:p>
      </xdr:txBody>
    </xdr:sp>
    <xdr:clientData/>
  </xdr:twoCellAnchor>
  <xdr:twoCellAnchor>
    <xdr:from>
      <xdr:col>4</xdr:col>
      <xdr:colOff>229750</xdr:colOff>
      <xdr:row>52</xdr:row>
      <xdr:rowOff>81489</xdr:rowOff>
    </xdr:from>
    <xdr:to>
      <xdr:col>6</xdr:col>
      <xdr:colOff>445592</xdr:colOff>
      <xdr:row>56</xdr:row>
      <xdr:rowOff>56408</xdr:rowOff>
    </xdr:to>
    <xdr:sp macro="" textlink="">
      <xdr:nvSpPr>
        <xdr:cNvPr id="148" name="Rond hoek zelfde zijde rechthoek 147"/>
        <xdr:cNvSpPr/>
      </xdr:nvSpPr>
      <xdr:spPr>
        <a:xfrm>
          <a:off x="2642750" y="10082739"/>
          <a:ext cx="1422342"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Mailserver</a:t>
          </a:r>
        </a:p>
      </xdr:txBody>
    </xdr:sp>
    <xdr:clientData/>
  </xdr:twoCellAnchor>
  <xdr:twoCellAnchor>
    <xdr:from>
      <xdr:col>35</xdr:col>
      <xdr:colOff>441537</xdr:colOff>
      <xdr:row>56</xdr:row>
      <xdr:rowOff>26644</xdr:rowOff>
    </xdr:from>
    <xdr:to>
      <xdr:col>38</xdr:col>
      <xdr:colOff>65617</xdr:colOff>
      <xdr:row>57</xdr:row>
      <xdr:rowOff>181803</xdr:rowOff>
    </xdr:to>
    <xdr:sp macro="" textlink="">
      <xdr:nvSpPr>
        <xdr:cNvPr id="149" name="Rond hoek zelfde zijde rechthoek 148"/>
        <xdr:cNvSpPr/>
      </xdr:nvSpPr>
      <xdr:spPr>
        <a:xfrm>
          <a:off x="21555287" y="10789894"/>
          <a:ext cx="1433830" cy="345659"/>
        </a:xfrm>
        <a:prstGeom prst="round2Same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Planned</a:t>
          </a:r>
        </a:p>
      </xdr:txBody>
    </xdr:sp>
    <xdr:clientData/>
  </xdr:twoCellAnchor>
  <xdr:twoCellAnchor>
    <xdr:from>
      <xdr:col>1</xdr:col>
      <xdr:colOff>388500</xdr:colOff>
      <xdr:row>57</xdr:row>
      <xdr:rowOff>176739</xdr:rowOff>
    </xdr:from>
    <xdr:to>
      <xdr:col>4</xdr:col>
      <xdr:colOff>1092</xdr:colOff>
      <xdr:row>61</xdr:row>
      <xdr:rowOff>151658</xdr:rowOff>
    </xdr:to>
    <xdr:sp macro="" textlink="">
      <xdr:nvSpPr>
        <xdr:cNvPr id="150" name="Rond hoek zelfde zijde rechthoek 149"/>
        <xdr:cNvSpPr/>
      </xdr:nvSpPr>
      <xdr:spPr>
        <a:xfrm>
          <a:off x="991750" y="11130489"/>
          <a:ext cx="1422342" cy="7369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Betaalengine</a:t>
          </a:r>
        </a:p>
      </xdr:txBody>
    </xdr:sp>
    <xdr:clientData/>
  </xdr:twoCellAnchor>
  <xdr:twoCellAnchor>
    <xdr:from>
      <xdr:col>1</xdr:col>
      <xdr:colOff>429066</xdr:colOff>
      <xdr:row>32</xdr:row>
      <xdr:rowOff>2704</xdr:rowOff>
    </xdr:from>
    <xdr:to>
      <xdr:col>4</xdr:col>
      <xdr:colOff>47620</xdr:colOff>
      <xdr:row>35</xdr:row>
      <xdr:rowOff>159531</xdr:rowOff>
    </xdr:to>
    <xdr:sp macro="" textlink="">
      <xdr:nvSpPr>
        <xdr:cNvPr id="151" name="Rond hoek zelfde zijde rechthoek 150"/>
        <xdr:cNvSpPr/>
      </xdr:nvSpPr>
      <xdr:spPr>
        <a:xfrm>
          <a:off x="1038666" y="5946304"/>
          <a:ext cx="1447354" cy="71562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Autorisatie component</a:t>
          </a:r>
        </a:p>
      </xdr:txBody>
    </xdr:sp>
    <xdr:clientData/>
  </xdr:twoCellAnchor>
  <xdr:twoCellAnchor>
    <xdr:from>
      <xdr:col>12</xdr:col>
      <xdr:colOff>402442</xdr:colOff>
      <xdr:row>107</xdr:row>
      <xdr:rowOff>76401</xdr:rowOff>
    </xdr:from>
    <xdr:to>
      <xdr:col>15</xdr:col>
      <xdr:colOff>15035</xdr:colOff>
      <xdr:row>111</xdr:row>
      <xdr:rowOff>56401</xdr:rowOff>
    </xdr:to>
    <xdr:sp macro="" textlink="">
      <xdr:nvSpPr>
        <xdr:cNvPr id="152" name="Rond hoek zelfde zijde rechthoek 151"/>
        <xdr:cNvSpPr/>
      </xdr:nvSpPr>
      <xdr:spPr>
        <a:xfrm>
          <a:off x="7717642" y="20071281"/>
          <a:ext cx="1441393" cy="711520"/>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Voorraad prducten en diensten</a:t>
          </a:r>
        </a:p>
      </xdr:txBody>
    </xdr:sp>
    <xdr:clientData/>
  </xdr:twoCellAnchor>
  <xdr:twoCellAnchor>
    <xdr:from>
      <xdr:col>32</xdr:col>
      <xdr:colOff>167163</xdr:colOff>
      <xdr:row>32</xdr:row>
      <xdr:rowOff>41112</xdr:rowOff>
    </xdr:from>
    <xdr:to>
      <xdr:col>34</xdr:col>
      <xdr:colOff>400193</xdr:colOff>
      <xdr:row>35</xdr:row>
      <xdr:rowOff>159531</xdr:rowOff>
    </xdr:to>
    <xdr:sp macro="" textlink="">
      <xdr:nvSpPr>
        <xdr:cNvPr id="153" name="Rond hoek zelfde zijde rechthoek 152"/>
        <xdr:cNvSpPr/>
      </xdr:nvSpPr>
      <xdr:spPr>
        <a:xfrm>
          <a:off x="19674363" y="6167592"/>
          <a:ext cx="1452230" cy="69753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Voorraad beheermodule</a:t>
          </a:r>
        </a:p>
      </xdr:txBody>
    </xdr:sp>
    <xdr:clientData/>
  </xdr:twoCellAnchor>
  <xdr:twoCellAnchor>
    <xdr:from>
      <xdr:col>15</xdr:col>
      <xdr:colOff>326217</xdr:colOff>
      <xdr:row>32</xdr:row>
      <xdr:rowOff>20484</xdr:rowOff>
    </xdr:from>
    <xdr:to>
      <xdr:col>17</xdr:col>
      <xdr:colOff>559247</xdr:colOff>
      <xdr:row>35</xdr:row>
      <xdr:rowOff>172231</xdr:rowOff>
    </xdr:to>
    <xdr:sp macro="" textlink="">
      <xdr:nvSpPr>
        <xdr:cNvPr id="225" name="Rond hoek zelfde zijde rechthoek 224"/>
        <xdr:cNvSpPr/>
      </xdr:nvSpPr>
      <xdr:spPr>
        <a:xfrm>
          <a:off x="9470217" y="5964084"/>
          <a:ext cx="1452230" cy="7105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Reken module</a:t>
          </a:r>
        </a:p>
      </xdr:txBody>
    </xdr:sp>
    <xdr:clientData/>
  </xdr:twoCellAnchor>
  <xdr:twoCellAnchor>
    <xdr:from>
      <xdr:col>32</xdr:col>
      <xdr:colOff>193020</xdr:colOff>
      <xdr:row>37</xdr:row>
      <xdr:rowOff>45884</xdr:rowOff>
    </xdr:from>
    <xdr:to>
      <xdr:col>34</xdr:col>
      <xdr:colOff>426050</xdr:colOff>
      <xdr:row>40</xdr:row>
      <xdr:rowOff>184931</xdr:rowOff>
    </xdr:to>
    <xdr:sp macro="" textlink="">
      <xdr:nvSpPr>
        <xdr:cNvPr id="154" name="Rond hoek zelfde zijde rechthoek 153"/>
        <xdr:cNvSpPr/>
      </xdr:nvSpPr>
      <xdr:spPr>
        <a:xfrm>
          <a:off x="19700220" y="6929284"/>
          <a:ext cx="1452230" cy="71054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Dashboard module</a:t>
          </a:r>
        </a:p>
      </xdr:txBody>
    </xdr:sp>
    <xdr:clientData/>
  </xdr:twoCellAnchor>
  <xdr:twoCellAnchor>
    <xdr:from>
      <xdr:col>25</xdr:col>
      <xdr:colOff>507575</xdr:colOff>
      <xdr:row>107</xdr:row>
      <xdr:rowOff>121867</xdr:rowOff>
    </xdr:from>
    <xdr:to>
      <xdr:col>28</xdr:col>
      <xdr:colOff>115280</xdr:colOff>
      <xdr:row>111</xdr:row>
      <xdr:rowOff>96786</xdr:rowOff>
    </xdr:to>
    <xdr:sp macro="" textlink="">
      <xdr:nvSpPr>
        <xdr:cNvPr id="155" name="Rond hoek zelfde zijde rechthoek 154"/>
        <xdr:cNvSpPr/>
      </xdr:nvSpPr>
      <xdr:spPr>
        <a:xfrm>
          <a:off x="15747575" y="19527467"/>
          <a:ext cx="1436505" cy="686119"/>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MijnOverheid.nl</a:t>
          </a:r>
        </a:p>
      </xdr:txBody>
    </xdr:sp>
    <xdr:clientData/>
  </xdr:twoCellAnchor>
  <xdr:twoCellAnchor>
    <xdr:from>
      <xdr:col>1</xdr:col>
      <xdr:colOff>416366</xdr:colOff>
      <xdr:row>36</xdr:row>
      <xdr:rowOff>155104</xdr:rowOff>
    </xdr:from>
    <xdr:to>
      <xdr:col>4</xdr:col>
      <xdr:colOff>34920</xdr:colOff>
      <xdr:row>40</xdr:row>
      <xdr:rowOff>108731</xdr:rowOff>
    </xdr:to>
    <xdr:sp macro="" textlink="">
      <xdr:nvSpPr>
        <xdr:cNvPr id="156" name="Rond hoek zelfde zijde rechthoek 155"/>
        <xdr:cNvSpPr/>
      </xdr:nvSpPr>
      <xdr:spPr>
        <a:xfrm>
          <a:off x="1025966" y="6848004"/>
          <a:ext cx="1447354" cy="71562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ysClr val="windowText" lastClr="000000"/>
              </a:solidFill>
              <a:latin typeface="+mn-lt"/>
              <a:ea typeface="+mn-ea"/>
              <a:cs typeface="+mn-cs"/>
            </a:rPr>
            <a:t>MijnPassen</a:t>
          </a:r>
        </a:p>
      </xdr:txBody>
    </xdr:sp>
    <xdr:clientData/>
  </xdr:twoCellAnchor>
  <xdr:twoCellAnchor>
    <xdr:from>
      <xdr:col>15</xdr:col>
      <xdr:colOff>326217</xdr:colOff>
      <xdr:row>36</xdr:row>
      <xdr:rowOff>160184</xdr:rowOff>
    </xdr:from>
    <xdr:to>
      <xdr:col>17</xdr:col>
      <xdr:colOff>559247</xdr:colOff>
      <xdr:row>40</xdr:row>
      <xdr:rowOff>108731</xdr:rowOff>
    </xdr:to>
    <xdr:sp macro="" textlink="">
      <xdr:nvSpPr>
        <xdr:cNvPr id="159" name="Rond hoek zelfde zijde rechthoek 158"/>
        <xdr:cNvSpPr/>
      </xdr:nvSpPr>
      <xdr:spPr>
        <a:xfrm>
          <a:off x="9470217" y="6853084"/>
          <a:ext cx="1452230" cy="710547"/>
        </a:xfrm>
        <a:prstGeom prst="round2SameRect">
          <a:avLst/>
        </a:prstGeom>
        <a:solidFill>
          <a:srgbClr val="D7E4BD"/>
        </a:solidFill>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lIns="0" tIns="0" rIns="0" bIns="0" rtlCol="0" anchor="ctr" anchorCtr="1"/>
        <a:lstStyle/>
        <a:p>
          <a:pPr marL="0" indent="0" algn="ctr"/>
          <a:r>
            <a:rPr lang="nl-NL" sz="1400">
              <a:solidFill>
                <a:schemeClr val="dk1"/>
              </a:solidFill>
              <a:latin typeface="+mn-lt"/>
              <a:ea typeface="+mn-ea"/>
              <a:cs typeface="+mn-cs"/>
            </a:rPr>
            <a:t>Scan module</a:t>
          </a:r>
        </a:p>
      </xdr:txBody>
    </xdr:sp>
    <xdr:clientData/>
  </xdr:twoCellAnchor>
  <xdr:twoCellAnchor>
    <xdr:from>
      <xdr:col>4</xdr:col>
      <xdr:colOff>200466</xdr:colOff>
      <xdr:row>36</xdr:row>
      <xdr:rowOff>142404</xdr:rowOff>
    </xdr:from>
    <xdr:to>
      <xdr:col>6</xdr:col>
      <xdr:colOff>428620</xdr:colOff>
      <xdr:row>40</xdr:row>
      <xdr:rowOff>96031</xdr:rowOff>
    </xdr:to>
    <xdr:sp macro="" textlink="">
      <xdr:nvSpPr>
        <xdr:cNvPr id="160" name="Rond hoek zelfde zijde rechthoek 159"/>
        <xdr:cNvSpPr/>
      </xdr:nvSpPr>
      <xdr:spPr>
        <a:xfrm>
          <a:off x="2638866" y="6835304"/>
          <a:ext cx="1447354" cy="715627"/>
        </a:xfrm>
        <a:prstGeom prst="round2SameRect">
          <a:avLst/>
        </a:prstGeom>
        <a:solidFill>
          <a:schemeClr val="bg1">
            <a:lumMod val="85000"/>
          </a:schemeClr>
        </a:solidFill>
        <a:ln>
          <a:solidFill>
            <a:schemeClr val="bg1">
              <a:lumMod val="65000"/>
            </a:schemeClr>
          </a:solidFill>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lIns="0" tIns="0" rIns="0" bIns="0" rtlCol="0" anchor="ctr" anchorCtr="1"/>
        <a:lstStyle/>
        <a:p>
          <a:pPr marL="0" indent="0" algn="ctr"/>
          <a:r>
            <a:rPr lang="nl-NL" sz="1400">
              <a:solidFill>
                <a:sysClr val="windowText" lastClr="000000"/>
              </a:solidFill>
              <a:latin typeface="+mn-lt"/>
              <a:ea typeface="+mn-ea"/>
              <a:cs typeface="+mn-cs"/>
            </a:rPr>
            <a:t>Track &amp; trace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30480</xdr:colOff>
      <xdr:row>2</xdr:row>
      <xdr:rowOff>30480</xdr:rowOff>
    </xdr:from>
    <xdr:to>
      <xdr:col>5</xdr:col>
      <xdr:colOff>180340</xdr:colOff>
      <xdr:row>32</xdr:row>
      <xdr:rowOff>101918</xdr:rowOff>
    </xdr:to>
    <xdr:pic>
      <xdr:nvPicPr>
        <xdr:cNvPr id="2"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 y="396240"/>
          <a:ext cx="9880600" cy="555783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hod\AppData\Local\Microsoft\Windows\INetCache\Content.Outlook\S6427ALF\Product-Backlog%20Q4%20Q1%202019%20V0.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L"/>
      <sheetName val="DoD"/>
      <sheetName val="draaitabel roadmap"/>
      <sheetName val="lijsten"/>
      <sheetName val="vragen"/>
      <sheetName val="Blad1"/>
      <sheetName val="Blad2"/>
      <sheetName val="Blad3"/>
    </sheetNames>
    <sheetDataSet>
      <sheetData sheetId="0"/>
      <sheetData sheetId="1"/>
      <sheetData sheetId="2"/>
      <sheetData sheetId="3">
        <row r="1">
          <cell r="A1" t="str">
            <v>inwoner</v>
          </cell>
        </row>
        <row r="2">
          <cell r="A2" t="str">
            <v>ondernemer</v>
          </cell>
        </row>
        <row r="3">
          <cell r="A3" t="str">
            <v>gebruiker</v>
          </cell>
        </row>
        <row r="4">
          <cell r="A4" t="str">
            <v>producteigenaar</v>
          </cell>
        </row>
        <row r="5">
          <cell r="A5" t="str">
            <v>medewerker van een organisatie</v>
          </cell>
        </row>
        <row r="6">
          <cell r="A6" t="str">
            <v>klantvraagontwikkelaar</v>
          </cell>
        </row>
        <row r="7">
          <cell r="A7" t="str">
            <v>dienstverlenende organisatie</v>
          </cell>
        </row>
        <row r="8">
          <cell r="A8" t="str">
            <v>RvID</v>
          </cell>
        </row>
        <row r="9">
          <cell r="A9" t="str">
            <v>CISO</v>
          </cell>
        </row>
        <row r="10">
          <cell r="A10" t="str">
            <v>Software ontwikkelaar</v>
          </cell>
        </row>
      </sheetData>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kie Jansen" refreshedDate="43483.645098379631" createdVersion="4" refreshedVersion="4" minRefreshableVersion="3" recordCount="131">
  <cacheSource type="worksheet">
    <worksheetSource ref="B1:N132" sheet="Beschrijving onderdelen"/>
  </cacheSource>
  <cacheFields count="13">
    <cacheField name="Onderdelen" numFmtId="0">
      <sharedItems/>
    </cacheField>
    <cacheField name="Soort" numFmtId="0">
      <sharedItems/>
    </cacheField>
    <cacheField name="Onderdeel - soort" numFmtId="0">
      <sharedItems containsBlank="1" count="130">
        <s v="Image recognition (AI engines)"/>
        <s v="Machine Learning (AI engines)"/>
        <s v="Natural language processing (AI engines)"/>
        <s v="Predictive en prescriptive algorithmes (AI engines)"/>
        <s v="BAG (API)"/>
        <s v="Beschikbaarheid Babs_x000a_ (API)"/>
        <s v="Beschikbaarheid locatie_x000a_ (API)"/>
        <s v="BGT (API)"/>
        <s v="BRI (API)"/>
        <s v="BRK (API)"/>
        <s v="BRP (landelijk) (API)"/>
        <s v="BRT (API)"/>
        <s v="BRV (API)"/>
        <s v="DigiD (API)"/>
        <s v="Financieel systeem (API)"/>
        <s v="GBA (lokaal) (API)"/>
        <s v="Itsme (API)"/>
        <s v="Machtigingen (API)"/>
        <s v="NHR (API)"/>
        <s v="NLX Inway (API)"/>
        <s v="NLX outway (API)"/>
        <s v="Notificaties (API)"/>
        <s v="Order (API)"/>
        <s v="PDC (API)"/>
        <s v="Trouworder (API)"/>
        <s v="WOZ (API)"/>
        <s v="ZDS 2.0 (API)"/>
        <s v="Marktplaats (Beheeromgeving smart toolbox)"/>
        <s v="Toolkits (Beheeromgeving smart toolbox)"/>
        <s v="Afhandeling klantvragen (Component)"/>
        <s v="Agenda module (Component)"/>
        <s v="App Content Manager (ACM) (Component)"/>
        <s v="Betaalmodule (Component)"/>
        <s v="Bibliotheek klantvragen (Component)"/>
        <s v="Contacten (personen /organisaties) (Component)"/>
        <s v="Filter module (Component)"/>
        <s v="Autorisatie component (Component)"/>
        <s v="Inlogmodule (Component)"/>
        <s v="Klantvraageditor (Component)"/>
        <s v="Locatiemodule (Component)"/>
        <s v="Machtigingenmodule (Component)"/>
        <s v="MijnContracten (Component)"/>
        <s v="Notificatiemodule (Component)"/>
        <s v="Onderteken module (Component)"/>
        <s v="Order module (Component)"/>
        <s v="Gegevens delen (Component)"/>
        <s v="Delen klantvraag (Component)"/>
        <s v="Upload module (Component)"/>
        <s v="Winkelwagen (Component)"/>
        <s v="Zoek (vind) module (Component)"/>
        <s v="BAG (Data)"/>
        <s v="Besluiten (beschikkingen) (Data)"/>
        <s v="BGT (Data)"/>
        <s v="BRI (Data)"/>
        <s v="BRK (Data)"/>
        <s v="BRP (Data)"/>
        <s v="BRT (Data)"/>
        <s v="BRV (Data)"/>
        <s v="Business rules (Data)"/>
        <s v="Zaak Documenten (Data)"/>
        <s v="GBA (lokaal) (Data)"/>
        <s v="Machtigingen (Data)"/>
        <s v="NHR (Data)"/>
        <s v="Voorraad prducten en diensten (Data)"/>
        <s v="Voorraad beheermodule (Component)"/>
        <s v="PDC (Product- en dienstencatalogus) (Data)"/>
        <s v="Registratie Babsen (Data)"/>
        <s v="Registratie trouwlocaties (Data)"/>
        <s v="WOZ (Data)"/>
        <s v="Zaaktypen (Data)"/>
        <s v="Zaken (Data)"/>
        <s v="Chat (Component)"/>
        <s v="Chatbot (Platform engine)"/>
        <s v="Personalisatie (Platform engine)"/>
        <s v="AR/VR (Component)"/>
        <s v="Chatbot (Component)"/>
        <s v="Personalisatie (Component)"/>
        <s v="Talk back module (Component)"/>
        <s v="UI componenten (Component)"/>
        <s v="Virutele assistent??? (Component)"/>
        <s v="Voice &amp; Speech (Component)"/>
        <s v="Data Lake (IoT engines)"/>
        <s v="IoT Gateway (IoT engines)"/>
        <s v="Metadata mangement (IoT engines)"/>
        <s v="Profiing (IoT engines)"/>
        <s v="Realtime Processing (IoT engines)"/>
        <s v="Robotics gateway (IoT engines)"/>
        <s v="(ver)Bouwen (Klantvragen)"/>
        <s v="Basisgegevens (Klantvragen)"/>
        <s v="Bezwaar (Klantvragen)"/>
        <s v="Idee (Klantvragen)"/>
        <s v="Inkomen (Klantvragen)"/>
        <s v="Klacht (Klantvragen)"/>
        <s v="Leven in NL (Klantvragen)"/>
        <s v="Onderdak (Klantvragen)"/>
        <s v="Ondernemen (Klantvragen)"/>
        <s v="Ondersteuning (Klantvragen)"/>
        <s v="Organiseren (Klantvragen)"/>
        <s v="Parkeren (Klantvragen)"/>
        <s v="Schulden (Klantvragen)"/>
        <s v="Trouwen (Klantvragen)"/>
        <s v="Verhuizen (Klantvragen)"/>
        <s v="DigiD (Landelijke voorzieningen)"/>
        <s v="eHerkenning (Landelijke voorzieningen)"/>
        <s v="eID (Landelijke voorzieningen)"/>
        <s v="Itsme (Landelijke voorzieningen)"/>
        <s v="Life Events (Landelijke voorzieningen)"/>
        <s v="NLX (Landelijke voorzieningen)"/>
        <s v="Vind Catalogus (Landelijke voorzieningen)"/>
        <s v="(AVG) Logging (Platform engine)"/>
        <m/>
        <s v="ESB (Platform engine)"/>
        <s v="Gebruikersbeheer (Platform engine)"/>
        <s v="Identiteit en toegang (Component)"/>
        <s v="Identiteit en toegang (Platform engine)"/>
        <s v="Look and Feel (dienstverlener) (Platform engine)"/>
        <s v="Workflow engine (BPM) (Platform engine)"/>
        <s v="Evaluatie / klanttevredenheid (Component)"/>
        <s v="Stemmodule (Component)"/>
        <s v="Aanbeveling / beoordeling_x000a_ (Platform engine)"/>
        <s v="Verhuisorder (API)"/>
        <s v="Mailserver (Platform engine)"/>
        <s v="Betaalengine (Platform engine)"/>
        <s v="Admin &amp; Config (Beheeromgeving smart toolbox)"/>
        <s v="Reken module (Component)"/>
        <s v="Dashboard module (Component)"/>
        <s v="MijnOverheid.nl (Landelijke voorzieningen)"/>
        <s v="MijnPassen (Component)"/>
        <s v="Scan module (Component)"/>
        <s v="Track &amp; trace (Component)"/>
      </sharedItems>
    </cacheField>
    <cacheField name="Soort - onderdeel" numFmtId="0">
      <sharedItems/>
    </cacheField>
    <cacheField name="Beschrijving" numFmtId="0">
      <sharedItems containsBlank="1" longText="1"/>
    </cacheField>
    <cacheField name="Status" numFmtId="0">
      <sharedItems count="5">
        <s v="R&amp;D"/>
        <s v="Doing"/>
        <s v="Live"/>
        <s v="Planned"/>
        <s v="Panned" u="1"/>
      </sharedItems>
    </cacheField>
    <cacheField name="Input" numFmtId="0">
      <sharedItems containsBlank="1"/>
    </cacheField>
    <cacheField name="Output" numFmtId="0">
      <sharedItems containsBlank="1"/>
    </cacheField>
    <cacheField name="Dienst-verlener" numFmtId="0">
      <sharedItems containsBlank="1"/>
    </cacheField>
    <cacheField name="Leverancier" numFmtId="0">
      <sharedItems containsBlank="1"/>
    </cacheField>
    <cacheField name="verwachte begindatum" numFmtId="164">
      <sharedItems containsNonDate="0" containsDate="1" containsString="0" containsBlank="1" minDate="2019-01-01T00:00:00" maxDate="2019-03-02T00:00:00" count="3">
        <m/>
        <d v="2019-03-01T00:00:00"/>
        <d v="2019-01-01T00:00:00"/>
      </sharedItems>
    </cacheField>
    <cacheField name="verwachte einddatum" numFmtId="0">
      <sharedItems containsNonDate="0" containsDate="1" containsString="0" containsBlank="1" minDate="2019-04-01T00:00:00" maxDate="2019-07-02T00:00:00" count="4">
        <m/>
        <d v="2019-07-01T00:00:00"/>
        <d v="2019-04-01T00:00:00"/>
        <d v="2019-06-01T00:00:00"/>
      </sharedItems>
    </cacheField>
    <cacheField name="duur (dagen)" numFmtId="0">
      <sharedItems containsString="0" containsBlank="1" containsNumber="1" containsInteger="1" minValue="0" maxValue="1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1">
  <r>
    <s v="Image recognition"/>
    <s v="AI engines"/>
    <x v="0"/>
    <s v="AI engines - Image recognition"/>
    <s v="nader te definiëren_x000a_Beeldherkenning (image recognition) is een term voor computertechnologieën die bepaalde mensen, dieren, objecten of andere doelgerichte onderwerpen kunnen herkennen door het gebruik van algoritmen en machinale leerconcepten (machine learning). De term 'beeldherkenning' is verbonden met 'computer vision', een overkoepelend label voor het proces van het trainen van computers om mensen te 'zien' en 'beeldverwerking', een verzamelnaam voor computers die intensief werken op data"/>
    <x v="0"/>
    <m/>
    <m/>
    <m/>
    <m/>
    <x v="0"/>
    <x v="0"/>
    <n v="0"/>
  </r>
  <r>
    <s v="Machine Learning"/>
    <s v="AI engines"/>
    <x v="1"/>
    <s v="AI engines - Machine Learning"/>
    <s v="nader te definiëren_x000a_Machine Learning is een wetenschappelijke discipline waarbij patronen in Big Data ontdekt worden. Vervolgens vormen ze de basis voor een voorspellend algoritme (wiskundig model). Door periodiek nieuwe data aan het algoritme toe te voegen blijft het model ‘’leren’’, ofwel nieuwe patronen ontdekken. Dit resulteert in specifiekere patronen die nauwkeuriger voorspellen."/>
    <x v="0"/>
    <m/>
    <m/>
    <m/>
    <m/>
    <x v="0"/>
    <x v="0"/>
    <n v="0"/>
  </r>
  <r>
    <s v="Natural language processing"/>
    <s v="AI engines"/>
    <x v="2"/>
    <s v="AI engines - Natural language processing"/>
    <s v="nader te definiëren_x000a_De vaardigheid van een computerprogramma om een menselijke taal te begrijpen, wordt Natural Language Processing (NLP) genoemd. NLP is eigenlijk een complexe combinatie van computerwetenschap, kunstmatige intelligentie en computationele linguïstiek.  De nadruk ligt op het programmeren van computers op zo’n manier, dat deze een corpora aanmaken van de menselijke taal. Natural Language Processing beperkt zich echter niet tot het begrijpen van de taal; het produceren van menselijke taal is ook een belangrijk aspect. Ultieme uitdaging is het voeren van een dialoog."/>
    <x v="0"/>
    <m/>
    <m/>
    <m/>
    <m/>
    <x v="0"/>
    <x v="0"/>
    <n v="0"/>
  </r>
  <r>
    <s v="Predictive en prescriptive algorithmes"/>
    <s v="AI engines"/>
    <x v="3"/>
    <s v="AI engines - Predictive en prescriptive algorithmes"/>
    <s v="nader te definiëren_x000a_Predictive algorithms: algoritmes die statistische modellen en prognosetechnieken gebruiken om de toekomst te begrijpen en te antwoorden: &quot;Wat zou er kunnen gebeuren?&quot;_x000a_Prescriptive algorithms: algoritmes waarbij gebruik wordt gemaakt van optimalisatie- en simulatiealgoritmen om te adviseren over mogelijke resultaten en te antwoorden: &quot;Wat moeten we doen?&quot;"/>
    <x v="0"/>
    <m/>
    <m/>
    <m/>
    <m/>
    <x v="0"/>
    <x v="0"/>
    <n v="0"/>
  </r>
  <r>
    <s v="BAG"/>
    <s v="API"/>
    <x v="4"/>
    <s v="API - BAG"/>
    <s v="Interface naar Basisregistratie Adressen en Gebouwen"/>
    <x v="0"/>
    <m/>
    <m/>
    <m/>
    <m/>
    <x v="0"/>
    <x v="0"/>
    <n v="0"/>
  </r>
  <r>
    <s v="Beschikbaarheid Babs_x000a_"/>
    <s v="API"/>
    <x v="5"/>
    <s v="API - Beschikbaarheid Babs_x000a_"/>
    <s v="Interface naar Babs beschikbaarheidsregister"/>
    <x v="1"/>
    <m/>
    <m/>
    <s v="gemeente Eindhoven"/>
    <s v="Indicia"/>
    <x v="1"/>
    <x v="1"/>
    <n v="122"/>
  </r>
  <r>
    <s v="Beschikbaarheid locatie_x000a_"/>
    <s v="API"/>
    <x v="6"/>
    <s v="API - Beschikbaarheid locatie_x000a_"/>
    <s v="Interface naar Locatie beschikbaarheidsregister"/>
    <x v="0"/>
    <m/>
    <m/>
    <m/>
    <m/>
    <x v="0"/>
    <x v="0"/>
    <n v="0"/>
  </r>
  <r>
    <s v="BGT"/>
    <s v="API"/>
    <x v="7"/>
    <s v="API - BGT"/>
    <s v="Interface naar Basisregistratie Grootschalige Topografie"/>
    <x v="0"/>
    <m/>
    <m/>
    <m/>
    <m/>
    <x v="0"/>
    <x v="0"/>
    <n v="0"/>
  </r>
  <r>
    <s v="BRI"/>
    <s v="API"/>
    <x v="8"/>
    <s v="API - BRI"/>
    <s v="Interface naar Basisregistratie Inkomen"/>
    <x v="0"/>
    <m/>
    <m/>
    <m/>
    <m/>
    <x v="0"/>
    <x v="0"/>
    <n v="0"/>
  </r>
  <r>
    <s v="BRK"/>
    <s v="API"/>
    <x v="9"/>
    <s v="API - BRK"/>
    <s v="Interface naar Basisregistratie Kadaster"/>
    <x v="0"/>
    <m/>
    <m/>
    <m/>
    <m/>
    <x v="0"/>
    <x v="0"/>
    <n v="0"/>
  </r>
  <r>
    <s v="BRP (landelijk)"/>
    <s v="API"/>
    <x v="10"/>
    <s v="API - BRP (landelijk)"/>
    <s v="Interface naar BRP (basisgegevens en gezinssamenstelling"/>
    <x v="0"/>
    <m/>
    <m/>
    <m/>
    <m/>
    <x v="0"/>
    <x v="0"/>
    <n v="0"/>
  </r>
  <r>
    <s v="BRT"/>
    <s v="API"/>
    <x v="11"/>
    <s v="API - BRT"/>
    <s v="Interface naar Basisregistratie Topografie"/>
    <x v="0"/>
    <m/>
    <m/>
    <m/>
    <m/>
    <x v="0"/>
    <x v="0"/>
    <n v="0"/>
  </r>
  <r>
    <s v="BRV"/>
    <s v="API"/>
    <x v="12"/>
    <s v="API - BRV"/>
    <s v="Interface naar Basisregistratie Voertuigen"/>
    <x v="0"/>
    <m/>
    <m/>
    <m/>
    <m/>
    <x v="0"/>
    <x v="0"/>
    <n v="0"/>
  </r>
  <r>
    <s v="DigiD"/>
    <s v="API"/>
    <x v="13"/>
    <s v="API - DigiD"/>
    <s v="Interface naar DigiD"/>
    <x v="0"/>
    <m/>
    <m/>
    <m/>
    <m/>
    <x v="0"/>
    <x v="0"/>
    <n v="0"/>
  </r>
  <r>
    <s v="Financieel systeem"/>
    <s v="API"/>
    <x v="14"/>
    <s v="API - Financieel systeem"/>
    <s v="Administratieve afhandeling vanuit betaalmodule"/>
    <x v="0"/>
    <m/>
    <m/>
    <m/>
    <m/>
    <x v="0"/>
    <x v="0"/>
    <n v="0"/>
  </r>
  <r>
    <s v="GBA (lokaal)"/>
    <s v="API"/>
    <x v="15"/>
    <s v="API - GBA (lokaal)"/>
    <s v="Interface naar BRP (basisgegevens en gezinssamenstelling"/>
    <x v="0"/>
    <m/>
    <m/>
    <m/>
    <m/>
    <x v="0"/>
    <x v="0"/>
    <n v="0"/>
  </r>
  <r>
    <s v="Itsme"/>
    <s v="API"/>
    <x v="16"/>
    <s v="API - Itsme"/>
    <s v="Interface naar Itsme"/>
    <x v="0"/>
    <m/>
    <m/>
    <m/>
    <m/>
    <x v="0"/>
    <x v="0"/>
    <n v="0"/>
  </r>
  <r>
    <s v="Machtigingen"/>
    <s v="API"/>
    <x v="17"/>
    <s v="API - Machtigingen"/>
    <s v="Interface naar Machtingingen registratie"/>
    <x v="0"/>
    <m/>
    <m/>
    <m/>
    <m/>
    <x v="0"/>
    <x v="0"/>
    <n v="0"/>
  </r>
  <r>
    <s v="NHR"/>
    <s v="API"/>
    <x v="18"/>
    <s v="API - NHR"/>
    <s v="Interface naar Nieuw Handelsregister"/>
    <x v="0"/>
    <m/>
    <m/>
    <m/>
    <m/>
    <x v="0"/>
    <x v="0"/>
    <n v="0"/>
  </r>
  <r>
    <s v="NLX Inway"/>
    <s v="API"/>
    <x v="19"/>
    <s v="API - NLX Inway"/>
    <s v="Interface naar NLX"/>
    <x v="2"/>
    <m/>
    <m/>
    <m/>
    <m/>
    <x v="0"/>
    <x v="0"/>
    <n v="0"/>
  </r>
  <r>
    <s v="NLX outway"/>
    <s v="API"/>
    <x v="20"/>
    <s v="API - NLX outway"/>
    <s v="Interface naar NLX"/>
    <x v="2"/>
    <m/>
    <m/>
    <m/>
    <m/>
    <x v="0"/>
    <x v="0"/>
    <n v="0"/>
  </r>
  <r>
    <s v="Notificaties"/>
    <s v="API"/>
    <x v="21"/>
    <s v="API - Notificaties"/>
    <s v="Interface van notificaties (statuswijzigingen) vanuit  systemen van aangesloten organisaties naar de notificatiemodule voor de gebruiker (en andersom)"/>
    <x v="0"/>
    <m/>
    <m/>
    <m/>
    <m/>
    <x v="0"/>
    <x v="0"/>
    <n v="0"/>
  </r>
  <r>
    <s v="Order"/>
    <s v="API"/>
    <x v="22"/>
    <s v="API - Order"/>
    <s v="Vanuit de order module wordt een order klaargezet. Deze order wordt naar een zaakregistratiecomponent gestuurde middels deze Order API (interface)"/>
    <x v="0"/>
    <m/>
    <m/>
    <m/>
    <m/>
    <x v="0"/>
    <x v="0"/>
    <n v="0"/>
  </r>
  <r>
    <s v="PDC"/>
    <s v="API"/>
    <x v="23"/>
    <s v="API - PDC"/>
    <s v="Interface naar Product Diensten Catalogus (er kunnen meerdere PDC's zijn bij de verschillende aangesloten organisaties. In de toekomst zou er ook een landelijke PDC kunnen zijn)"/>
    <x v="0"/>
    <m/>
    <m/>
    <m/>
    <m/>
    <x v="0"/>
    <x v="0"/>
    <n v="0"/>
  </r>
  <r>
    <s v="Trouworder"/>
    <s v="API"/>
    <x v="24"/>
    <s v="API - Trouworder"/>
    <s v="Vanuit de klantvraag wordt een JSON bericht samengesteld met daarin alle gegevens uit de trouwflow._x000a__x000a_N.B. in deze API kunnen ook JSON berichten samengesteld worden waarin alleen de goedkeuring van partner en/of getuigen zijn opgenomen_x000a__x000a_registratieID krijg je terug van de backoffice applicatie._x000a_Deze API wordt gebruikt in de eerste fase wanneer nog geen Zaakregistratie component wordt gebruikt en dus een specifieke interface nodig is naar een backoffice applicatie"/>
    <x v="3"/>
    <m/>
    <m/>
    <m/>
    <m/>
    <x v="0"/>
    <x v="0"/>
    <n v="0"/>
  </r>
  <r>
    <s v="WOZ"/>
    <s v="API"/>
    <x v="25"/>
    <s v="API - WOZ"/>
    <s v="Interface naar Basisregistratie Waardering Onroerende Zaken"/>
    <x v="0"/>
    <m/>
    <m/>
    <m/>
    <m/>
    <x v="0"/>
    <x v="0"/>
    <n v="0"/>
  </r>
  <r>
    <s v="ZDS 2.0"/>
    <s v="API"/>
    <x v="26"/>
    <s v="API - ZDS 2.0"/>
    <s v="Benodigde api om zaakgericht te kunnen registreren (naar zrc, drc, ztc, brc)"/>
    <x v="2"/>
    <m/>
    <m/>
    <s v="gemeente Haarlem"/>
    <m/>
    <x v="0"/>
    <x v="0"/>
    <n v="0"/>
  </r>
  <r>
    <s v="Marktplaats"/>
    <s v="Beheeromgeving smart toolbox"/>
    <x v="27"/>
    <s v="Beheeromgeving smart toolbox - Marktplaats"/>
    <s v="Nader te definiëren_x000a_Afhankelijk van de positionering van de smart toolbox elementen zullen er een aantal onderdelen nodig zijn voor beheer, marktplaats etc…. "/>
    <x v="0"/>
    <m/>
    <m/>
    <m/>
    <m/>
    <x v="0"/>
    <x v="0"/>
    <n v="0"/>
  </r>
  <r>
    <s v="Toolkits"/>
    <s v="Beheeromgeving smart toolbox"/>
    <x v="28"/>
    <s v="Beheeromgeving smart toolbox - Toolkits"/>
    <s v="Nader te definiëren_x000a_Afhankelijk van de positionering van de smart toolbox elementen zullen er een aantal onderdelen nodig zijn voor beheer, marktplaats etc…. "/>
    <x v="0"/>
    <m/>
    <m/>
    <m/>
    <m/>
    <x v="0"/>
    <x v="0"/>
    <n v="0"/>
  </r>
  <r>
    <s v="Afhandeling klantvragen"/>
    <s v="Component"/>
    <x v="29"/>
    <s v="Component - Afhandeling klantvragen"/>
    <s v="Mogelijkheden om binnengekomen klantvragen af te handelen, status te wijzigen en vervolg-klantvragen uit te zetten"/>
    <x v="0"/>
    <m/>
    <m/>
    <m/>
    <m/>
    <x v="0"/>
    <x v="0"/>
    <n v="0"/>
  </r>
  <r>
    <s v="Agenda module"/>
    <s v="Component"/>
    <x v="30"/>
    <s v="Component - Agenda module"/>
    <s v="Deze module is een user-interface waarin de gebruiker de agenda mogelijkheden ziet. Wordt altijd gevoed door een databestand, veelal zal dit via de filtermodule zijn. "/>
    <x v="0"/>
    <s v="Een lijst met datums en/of tijdstippen"/>
    <m/>
    <s v="gemeente Eindhoven"/>
    <s v="Weave"/>
    <x v="2"/>
    <x v="2"/>
    <n v="90"/>
  </r>
  <r>
    <s v="App Content Manager (ACM)"/>
    <s v="Component"/>
    <x v="31"/>
    <s v="Component - App Content Manager (ACM)"/>
    <s v="Verder uitwerken. _x000a_Hoe kunnen we een technisch kader ontwikkelen waardoor een dienstverlenende partij op een uniforme manier content op MijnApp kan zetten. _x000a__x000a_Is het handig dat er een soort content manager is waarin een dienstverlener content van een bepaald type kan aanbieden en dat dit in MijnApp wordt gepubliceerd??_x000a__x000a_Hoe komt de content in MijnApp. Voor de verschillende onderdelen, wordt vormgeving gemaakt._x000a_Je plugt de engine in, beheert de content via de ACM administratie schermen en de ontwikkelaar kan via een API steeds de actuele content ophalen._x000a_Contenttypes?"/>
    <x v="0"/>
    <m/>
    <m/>
    <m/>
    <m/>
    <x v="0"/>
    <x v="0"/>
    <n v="0"/>
  </r>
  <r>
    <s v="Betaalmodule"/>
    <s v="Component"/>
    <x v="32"/>
    <s v="Component - Betaalmodule"/>
    <s v="Module waarmee de gebruiker eenvoudig via zijn eigen bank op een veilige manier een betaling kan doen naar een dienstverlenende partij. "/>
    <x v="3"/>
    <m/>
    <m/>
    <m/>
    <m/>
    <x v="0"/>
    <x v="0"/>
    <n v="0"/>
  </r>
  <r>
    <s v="Bibliotheek klantvragen"/>
    <s v="Component"/>
    <x v="33"/>
    <s v="Component - Bibliotheek klantvragen"/>
    <s v="Bibliotheek waarin al ontwikkelde klantvragen van dienstverleners zijn opgenomen. "/>
    <x v="1"/>
    <m/>
    <m/>
    <m/>
    <m/>
    <x v="1"/>
    <x v="1"/>
    <n v="122"/>
  </r>
  <r>
    <s v="Contacten (personen /organisaties)"/>
    <s v="Component"/>
    <x v="34"/>
    <s v="Component - Contacten (personen /organisaties)"/>
    <s v="Component contacten maakt het mogelijk om jouw contactpersonen/dienstverlende partijen toe te voegen/te wijzigen/te beheren.  Deze contacten kunnen gebruikt worden om bijvoorbeeld uitnodigingen binnen MijnApp te versturen, machtigingen/gemachtigden toe te kennen"/>
    <x v="0"/>
    <m/>
    <m/>
    <m/>
    <m/>
    <x v="0"/>
    <x v="0"/>
    <n v="0"/>
  </r>
  <r>
    <s v="Filter module"/>
    <s v="Component"/>
    <x v="35"/>
    <s v="Component - Filter module"/>
    <s v="Deze module maakt het mogelijk om uit verschillende databronnen, gegevens op te halen volgens in te stellen metadata (bijvoorbeeld: locatie, babs, datum) en hierin te filteren. Bijv. Filter op datum en krijg alle locaties en babsen die beschikbaar zijn op deze datum. Of: kies datum en locatie en kijk welke Babs op welk moment beschikbaar is. De output van deze filter module kan bijvoorbeeld getoond worden in de Agenda-module maar ook als lijst._x000a_Er kan ook gefilterd worden uit een lijst met producten en diensten (PDC) op bijvoorbeeld locatie, leverancier."/>
    <x v="0"/>
    <m/>
    <m/>
    <m/>
    <m/>
    <x v="0"/>
    <x v="0"/>
    <n v="0"/>
  </r>
  <r>
    <s v="Autorisatie component"/>
    <s v="Component"/>
    <x v="36"/>
    <s v="Component - Autorisatie component"/>
    <s v="Module om gebruikers te autoriseren voor toegang en rechten"/>
    <x v="0"/>
    <m/>
    <m/>
    <s v="gemeente Eindhoven"/>
    <s v="Weave"/>
    <x v="1"/>
    <x v="3"/>
    <n v="92"/>
  </r>
  <r>
    <s v="Inlogmodule"/>
    <s v="Component"/>
    <x v="37"/>
    <s v="Component - Inlogmodule"/>
    <s v="Dit is de interface voor de gebruiker van MijnApp om toegang te krijgen. Aan de achterkant kunnen verschillende identiteits modules gekoppeld worden, zoals DigiD, Itsme, eID (dit zijn platform engines)_x000a_De inlogmodule wordt ook gebruikt om in te loggen in MijnPortaal door medewerkers van een dienstverlenende organisatie. Deze instantie van de inlogmodule kan aan een andere identiteitsmodule gekoppeld zijn als de instantie voor MijnApp_x000a__x000a_In de inlogmodule zit de identificatie en authenticate. Waar worden  biometrische gegevens opgeslagen? (Nu is dat vaak op de telefoon maar willen we dat andere apps deze gegevens op je telefoon kunnen benaderen?)_x000a_---------_x000a_De Identity &amp; Access engine faciliteert de toegang van een gebruiker tot een toepassingen of een set van functionaliteiten._x000a__x000a_De engine voorziet in:_x000a_•authenticatie adhv user / paswoord tov Active Directory _x000a_•authenticatie adhv eID of itsme _x000a_•het ophalen van permissies voor een Active Directory gebruiker _x000a_"/>
    <x v="3"/>
    <m/>
    <m/>
    <s v="gemeente Eindhoven"/>
    <s v="Weave"/>
    <x v="1"/>
    <x v="1"/>
    <n v="122"/>
  </r>
  <r>
    <s v="Klantvraageditor"/>
    <s v="Component"/>
    <x v="38"/>
    <s v="Component - Klantvraageditor"/>
    <s v="De klantvraageditor is een gebruikersvriendelijke interface gekoppeld aan een BPM-engine._x000a_Met deze editor kan een klantvraagontwikkelaar zonder specifieke voorkennis, eenvoudig en snel een flow voor een klantvraag in elkaar zetten, testen, previewen, aanpassen en publiceren._x000a_Het publiceren resulteert in een aantal schermen die doorlopen kunnen worden enerzijds en een vertaling naar een voor een BPM-engine leesbaar formaat (standaard)....._x000a_De flows worden opgebouwd met blokken die hun eigen functionaliteit bevatten, bijv. een keuzemogelijkheid, een vinkoptie, een agenda, een uploadfunctie etc._x000a_Om de juiste data te kunnen tonen is het mogelijk om API's te koppelen aan de blokken/processtappen. _x000a__x000a_Vervolgklantvragen vanuit de backoffice / Mijnportal (wanneer is dit nodig of wordt dit gebruikt?)"/>
    <x v="1"/>
    <m/>
    <m/>
    <s v="gemeente Eindhoven"/>
    <s v="Weave"/>
    <x v="1"/>
    <x v="1"/>
    <n v="122"/>
  </r>
  <r>
    <s v="Locatiemodule"/>
    <s v="Component"/>
    <x v="39"/>
    <s v="Component - Locatiemodule"/>
    <s v="Met behulp van deze module kan een gebruiker een locatie kiezen op een kaart waarbij de coördinaten worden teruggegeven. Ook andersom kan een dienstverlener locaties laten plotten op een kaart aan de hand van coördinaten"/>
    <x v="0"/>
    <s v="Coördinaten"/>
    <s v="Coördinaten"/>
    <m/>
    <m/>
    <x v="0"/>
    <x v="0"/>
    <n v="0"/>
  </r>
  <r>
    <s v="Machtigingenmodule"/>
    <s v="Component"/>
    <x v="40"/>
    <s v="Component - Machtigingenmodule"/>
    <s v="Registratie van machtigingen en gemachtigden om namens de inwoner/ondernemer te handelen"/>
    <x v="0"/>
    <m/>
    <m/>
    <m/>
    <m/>
    <x v="0"/>
    <x v="0"/>
    <n v="0"/>
  </r>
  <r>
    <s v="MijnContracten"/>
    <s v="Component"/>
    <x v="41"/>
    <s v="Component - MijnContracten"/>
    <s v="Deze module haalt van een specifieke gebruiker (inwoner/ondernemer) alle diensten / producten / contracten / beschikkingen / aanvragen op bij de verschillende dienstverleners waar deze gebruiker bij aangesloten is en die bekend zijn in het systeem (bijv. MijnApp)_x000a_"/>
    <x v="1"/>
    <m/>
    <m/>
    <s v="gemeente Eindhoven"/>
    <s v="Solviteers"/>
    <x v="0"/>
    <x v="0"/>
    <n v="0"/>
  </r>
  <r>
    <s v="Notificatiemodule"/>
    <s v="Component"/>
    <x v="42"/>
    <s v="Component - Notificatiemodule"/>
    <s v="De notificatiemodule zorgt ervoor dat alle notificaties van van aangesloten organisaties worden getoond voor de gebruiker. De gegevens behorende bij een notificatie bestaan in ieder geval uit een datum, dienstverlenende partij en status"/>
    <x v="0"/>
    <m/>
    <m/>
    <m/>
    <m/>
    <x v="0"/>
    <x v="0"/>
    <n v="0"/>
  </r>
  <r>
    <s v="Onderteken module"/>
    <s v="Component"/>
    <x v="43"/>
    <s v="Component - Onderteken module"/>
    <s v="Definitie overgenomen van ACPaaS_x000a_Met de Digital Signature engine kunnen elektronische handtekening ‘flows’ geïnitieerd worden.  De engine ondersteunt zowel parallelle als sequentiële handtekening “flows”, waarbij meerdere participanten hetzelfde document ondertekenen. 'Core' van de engine is de Connective suite die voorziet in een wettelijk correcte manier om elektronische handtekeningen te gebruiken op een flexibele manier, en zo digitale workflows te ondersteunen. _x000a_Een groot arsenaal aan tekenmethodes verbetert de gebruikerservaring en vermindert bijkomende administratie."/>
    <x v="0"/>
    <m/>
    <m/>
    <m/>
    <m/>
    <x v="0"/>
    <x v="0"/>
    <n v="0"/>
  </r>
  <r>
    <s v="Order module"/>
    <s v="Component"/>
    <x v="44"/>
    <s v="Component - Order module"/>
    <s v="Alle gegevens verzameld in de aanvraagflow van een product of dienst worden verzameld in een order. Deze order is een bericht aangemaakt volgens standaard benoemd in Common Ground. Deze order kan via een API naar een afhandelend systeem gestuurd worden"/>
    <x v="3"/>
    <m/>
    <m/>
    <m/>
    <m/>
    <x v="0"/>
    <x v="0"/>
    <n v="0"/>
  </r>
  <r>
    <s v="Gegevens delen"/>
    <s v="Component"/>
    <x v="45"/>
    <s v="Component - Gegevens delen"/>
    <s v="Module regelt dat een gebruiker (inwoner/ondernemer) een andere partij toegang kan verlenen tot vooraf bepaalde gegevens. "/>
    <x v="0"/>
    <m/>
    <m/>
    <m/>
    <m/>
    <x v="0"/>
    <x v="0"/>
    <n v="0"/>
  </r>
  <r>
    <s v="Delen klantvraag"/>
    <s v="Component"/>
    <x v="46"/>
    <s v="Component - Delen klantvraag"/>
    <s v="Middels deze component wordt het mogelijk om in een eigen klantvraag iemand anders uit te nodigen om een deel van de gegevens in te vullen/accoderen. Bijvoorbeeld bij trouwen kun je partner uitnodigen om aanvullende gegevens aan te leveren zodat je je klantvraag trouwen volledig kunt doorlopen. "/>
    <x v="0"/>
    <m/>
    <m/>
    <m/>
    <m/>
    <x v="0"/>
    <x v="0"/>
    <n v="0"/>
  </r>
  <r>
    <s v="Upload module"/>
    <s v="Component"/>
    <x v="47"/>
    <s v="Component - Upload module"/>
    <s v="Uploadfunctie zorgt er voor dat een gebruiker objecten (foto's, documenten, filmpjes, afbeeldingen) kan uploaden"/>
    <x v="3"/>
    <m/>
    <m/>
    <m/>
    <m/>
    <x v="0"/>
    <x v="0"/>
    <n v="0"/>
  </r>
  <r>
    <s v="Winkelwagen"/>
    <s v="Component"/>
    <x v="48"/>
    <s v="Component - Winkelwagen"/>
    <s v="De winkelwagen verzamelt de producten/diensten/onderdelen van een aanvraag waar kosten aan verbonden zijn. De specificaties (kosten, uniek nummer) van het product worden uit de PDC gehaald"/>
    <x v="3"/>
    <m/>
    <m/>
    <s v="gemeente Eindhoven"/>
    <s v="Weave"/>
    <x v="1"/>
    <x v="1"/>
    <n v="122"/>
  </r>
  <r>
    <s v="Zoek (vind) module"/>
    <s v="Component"/>
    <x v="49"/>
    <s v="Component - Zoek (vind) module"/>
    <s v="De zoek (vind) functie maakt het mogelijk dat een gebruiker door intypen van een (deel) van een woord een overzicht krijgt van resultaten uit zoekbronnen zoals faq's, life events, onderdelen van de VIND catalogus, PDC, Inhoud van App of Website welke gelinkt zijn aan dit woord. "/>
    <x v="0"/>
    <s v="FAQ's, Life Events, Vind Catalogus, PDC, App Content"/>
    <m/>
    <m/>
    <m/>
    <x v="0"/>
    <x v="0"/>
    <n v="0"/>
  </r>
  <r>
    <s v="BAG"/>
    <s v="Data"/>
    <x v="50"/>
    <s v="Data - BAG"/>
    <s v="Basisregistratie Adressen en Gebouwen"/>
    <x v="2"/>
    <m/>
    <m/>
    <m/>
    <m/>
    <x v="0"/>
    <x v="0"/>
    <n v="0"/>
  </r>
  <r>
    <s v="Besluiten (beschikkingen)"/>
    <s v="Data"/>
    <x v="51"/>
    <s v="Data - Besluiten (beschikkingen)"/>
    <s v="Registratie van gemeentelijke besluiten van elk type"/>
    <x v="0"/>
    <m/>
    <m/>
    <m/>
    <m/>
    <x v="0"/>
    <x v="0"/>
    <n v="0"/>
  </r>
  <r>
    <s v="BGT"/>
    <s v="Data"/>
    <x v="52"/>
    <s v="Data - BGT"/>
    <s v="Basisregistratie Grootschalige Topografie"/>
    <x v="2"/>
    <m/>
    <m/>
    <m/>
    <m/>
    <x v="0"/>
    <x v="0"/>
    <n v="0"/>
  </r>
  <r>
    <s v="BRI"/>
    <s v="Data"/>
    <x v="53"/>
    <s v="Data - BRI"/>
    <s v="Basisregistratie Inkomen"/>
    <x v="2"/>
    <m/>
    <m/>
    <m/>
    <m/>
    <x v="0"/>
    <x v="0"/>
    <n v="0"/>
  </r>
  <r>
    <s v="BRK"/>
    <s v="Data"/>
    <x v="54"/>
    <s v="Data - BRK"/>
    <s v="Basisregistratie Kadaster"/>
    <x v="2"/>
    <m/>
    <m/>
    <m/>
    <m/>
    <x v="0"/>
    <x v="0"/>
    <n v="0"/>
  </r>
  <r>
    <s v="BRP"/>
    <s v="Data"/>
    <x v="55"/>
    <s v="Data - BRP"/>
    <s v="Basisregistratie Personen"/>
    <x v="0"/>
    <m/>
    <m/>
    <m/>
    <m/>
    <x v="0"/>
    <x v="0"/>
    <n v="0"/>
  </r>
  <r>
    <s v="BRT"/>
    <s v="Data"/>
    <x v="56"/>
    <s v="Data - BRT"/>
    <s v="Basisregistratie Topografie"/>
    <x v="2"/>
    <m/>
    <m/>
    <m/>
    <m/>
    <x v="0"/>
    <x v="0"/>
    <n v="0"/>
  </r>
  <r>
    <s v="BRV"/>
    <s v="Data"/>
    <x v="57"/>
    <s v="Data - BRV"/>
    <s v="Basisregistratie Voertuigen"/>
    <x v="2"/>
    <m/>
    <m/>
    <m/>
    <m/>
    <x v="0"/>
    <x v="0"/>
    <n v="0"/>
  </r>
  <r>
    <s v="Business rules"/>
    <s v="Data"/>
    <x v="58"/>
    <s v="Data - Business rules"/>
    <s v="Registratie van business rules (bedrijfsregels)._x000a_Bedrijfsregels (beslissingen m.b.t. contractafspraken, prijsberekeningen, kortingen, wet- en regelgeving) worden centraal vastgelegd en beschikbaar gesteld aan  systemen. Dit gebeurt door de business zélf en op een begrijpelijke en leesbare manier. Wijzigingen kunnen snel op één plek worden doorgevoerd. Het IT-landschap maakt gebruik van centraal vastgelegde beslissingen, wat zorgt voor consistentie over de gehele organisatie heen. Centraal vastgelegde beslissingen kunnen gemakkelijk en snel worden aangepast of worden uitgebreid op basis van nieuwe inzichten."/>
    <x v="0"/>
    <m/>
    <m/>
    <m/>
    <m/>
    <x v="0"/>
    <x v="0"/>
    <n v="0"/>
  </r>
  <r>
    <s v="Zaak Documenten"/>
    <s v="Data"/>
    <x v="59"/>
    <s v="Data - Zaak Documenten"/>
    <s v="Registratie van alle documenten die tijdens de klantvraag worden gecreeerd/ gedeeld en gedurenden een nader te bepalen periode, bewaard moeten blijven. Het zaaktype en de bewaar- en vernietingstermijnen zijn als metadata opgenomen."/>
    <x v="0"/>
    <m/>
    <m/>
    <m/>
    <m/>
    <x v="0"/>
    <x v="0"/>
    <n v="0"/>
  </r>
  <r>
    <s v="GBA (lokaal)"/>
    <s v="Data"/>
    <x v="60"/>
    <s v="Data - GBA (lokaal)"/>
    <s v="Gemeentelijke Basis Administratie persoonsgegevens"/>
    <x v="2"/>
    <m/>
    <m/>
    <m/>
    <m/>
    <x v="0"/>
    <x v="0"/>
    <n v="0"/>
  </r>
  <r>
    <s v="Machtigingen"/>
    <s v="Data"/>
    <x v="61"/>
    <s v="Data - Machtigingen"/>
    <s v="register voor het bijhouden van uitgegeven machtigingen (een persoon mag namens een ander persoon zaken doen)"/>
    <x v="0"/>
    <m/>
    <m/>
    <m/>
    <m/>
    <x v="0"/>
    <x v="0"/>
    <n v="0"/>
  </r>
  <r>
    <s v="NHR"/>
    <s v="Data"/>
    <x v="62"/>
    <s v="Data - NHR"/>
    <s v="Nieuw Handelsregister"/>
    <x v="0"/>
    <m/>
    <m/>
    <m/>
    <m/>
    <x v="0"/>
    <x v="0"/>
    <n v="0"/>
  </r>
  <r>
    <s v="Voorraad prducten en diensten"/>
    <s v="Data"/>
    <x v="63"/>
    <s v="Data - Voorraad prducten en diensten"/>
    <s v="Voorraad van een bepaald product of dienst"/>
    <x v="0"/>
    <m/>
    <m/>
    <m/>
    <m/>
    <x v="0"/>
    <x v="0"/>
    <m/>
  </r>
  <r>
    <s v="Voorraad beheermodule"/>
    <s v="Component"/>
    <x v="64"/>
    <s v="Component - Voorraad beheermodule"/>
    <s v="Component waarmee de dienstverlenende partij zijn voorraad kan beheren"/>
    <x v="0"/>
    <m/>
    <m/>
    <m/>
    <m/>
    <x v="0"/>
    <x v="0"/>
    <m/>
  </r>
  <r>
    <s v="PDC (Product- en dienstencatalogus)"/>
    <s v="Data"/>
    <x v="65"/>
    <s v="Data - PDC (Product- en dienstencatalogus)"/>
    <s v="Product- en Dienstcatalogus bevat alle (voor de inwoner/ondernemer bij het bepalen van een geschikt product/dienst) relevante gegevens van aangeboden producten en diensten van de aangesloten dienstverlenende partijen. _x000a__x000a_"/>
    <x v="0"/>
    <m/>
    <m/>
    <m/>
    <m/>
    <x v="0"/>
    <x v="0"/>
    <n v="0"/>
  </r>
  <r>
    <s v="Registratie Babsen"/>
    <s v="Data"/>
    <x v="66"/>
    <s v="Data - Registratie Babsen"/>
    <s v="Een overzicht van alle Babsen die een inwoner kan kiezen voor de huwelijksceremonie. Minimaal zijn de volgende gegevens opgenomen: naam, gemeente(n), persoonlijke toelichting, beschikbaarheid._x000a_Optioneel: presentatie-video"/>
    <x v="1"/>
    <m/>
    <m/>
    <s v="gemeente Eindhoven"/>
    <s v="Indicia"/>
    <x v="1"/>
    <x v="1"/>
    <n v="122"/>
  </r>
  <r>
    <s v="Registratie trouwlocaties"/>
    <s v="Data"/>
    <x v="67"/>
    <s v="Data - Registratie trouwlocaties"/>
    <s v="Registratie van standaard locaties behorende bij een gemeente met de beschikbaarheid, foto en toelichting"/>
    <x v="1"/>
    <m/>
    <m/>
    <s v="gemeente Eindhoven"/>
    <s v="Indicia"/>
    <x v="1"/>
    <x v="1"/>
    <n v="122"/>
  </r>
  <r>
    <s v="WOZ"/>
    <s v="Data"/>
    <x v="68"/>
    <s v="Data - WOZ"/>
    <s v="Basisregistratie Waardering Onroerende Zaken"/>
    <x v="2"/>
    <m/>
    <m/>
    <m/>
    <m/>
    <x v="0"/>
    <x v="0"/>
    <n v="0"/>
  </r>
  <r>
    <s v="Zaaktypen"/>
    <s v="Data"/>
    <x v="69"/>
    <s v="Data - Zaaktypen"/>
    <s v="Een bibliotheek van alle verschillende zaaktypen die voor een (overheids)organisatie van toepassing zijn._x000a_•Het zaaktype bepaalt de wijze van afhandeling van het proces._x000a_•Voor ieder zaaktype zijn bedrijfsregels vastgelegd (in de vorm van een beslisboom) die bepalen op welke wijze de aanvraag binnen het proces verder moet worden afgehandeld._x000a_•De zaaktypecatalogus is te beschouwen als een verdere detaillering van de productencatalogus._x000a_"/>
    <x v="2"/>
    <m/>
    <m/>
    <m/>
    <m/>
    <x v="0"/>
    <x v="0"/>
    <n v="0"/>
  </r>
  <r>
    <s v="Zaken"/>
    <s v="Data"/>
    <x v="70"/>
    <s v="Data - Zaken"/>
    <s v="Registratie van zaken_x000a_Een zaak is een samenhangende hoeveelheid werk met een gedefinieerde aanleiding en een gedefinieerd resultaat waarvan kwaliteit en doorlooptijd bewaakt moeten worden._x000a_Het werk bestaat uit activiteiten. Er wordt dus een proces uitgevoerd en dat proces heeft een begin, gemarkeerd door de aanleiding, en een einde, dat gemarkeerd wordt door het resultaat. Bij de uitvoering van dat proces wordt gewerkt met informatie. Dat is informatie die bij de zaak hoort. Bij Zaakgericht werken wordt die informatie gebundeld in een zaakdossier. _x000a_"/>
    <x v="2"/>
    <m/>
    <m/>
    <m/>
    <m/>
    <x v="0"/>
    <x v="0"/>
    <n v="0"/>
  </r>
  <r>
    <s v="Chat"/>
    <s v="Component"/>
    <x v="71"/>
    <s v="Component - Chat"/>
    <m/>
    <x v="1"/>
    <m/>
    <m/>
    <m/>
    <m/>
    <x v="0"/>
    <x v="0"/>
    <m/>
  </r>
  <r>
    <s v="Chatbot"/>
    <s v="Platform engine"/>
    <x v="72"/>
    <s v="Platform engine - Chatbot"/>
    <s v="De chatbot engine vormt de motor om chatbots op te zetten. Een chatbot is een nieuwe manier om inwoners, ondernemers en medewerkers via conversaties in menselijke taal te helpen bij vragen naar informatie. Deze technologie kan ook processen in gang zetten met de info die gebruikers aan een chatbot verstrekken. Chatbots zijn uitermate interessant om veel voorkomende vragen geautomatiseerd te beantwoorden."/>
    <x v="0"/>
    <m/>
    <m/>
    <m/>
    <m/>
    <x v="0"/>
    <x v="0"/>
    <n v="0"/>
  </r>
  <r>
    <s v="Personalisatie"/>
    <s v="Platform engine"/>
    <x v="73"/>
    <s v="Platform engine - Personalisatie"/>
    <s v="Ondersteuning voor de personalisatiemogelijkheden voor de gebruiker"/>
    <x v="0"/>
    <m/>
    <m/>
    <m/>
    <m/>
    <x v="0"/>
    <x v="0"/>
    <n v="0"/>
  </r>
  <r>
    <s v="AR/VR"/>
    <s v="Component"/>
    <x v="74"/>
    <s v="Component - AR/VR"/>
    <s v="nader te definiëren_x000a_"/>
    <x v="0"/>
    <m/>
    <m/>
    <m/>
    <m/>
    <x v="0"/>
    <x v="0"/>
    <n v="0"/>
  </r>
  <r>
    <s v="Chatbot"/>
    <s v="Component"/>
    <x v="75"/>
    <s v="Component - Chatbot"/>
    <s v="Een Chatbot is een virtuele medewerker die kan helpen om snel en eenvoudig klanten te woord te staan"/>
    <x v="0"/>
    <m/>
    <m/>
    <m/>
    <m/>
    <x v="0"/>
    <x v="0"/>
    <n v="0"/>
  </r>
  <r>
    <s v="Personalisatie"/>
    <s v="Component"/>
    <x v="76"/>
    <s v="Component - Personalisatie"/>
    <s v="De personalisatiemodule maakt het mogelijk voor gebruikers om hun individuele behoefte voor presentatie van de inhoud zo veel mogelijk te verwezenlijken. "/>
    <x v="0"/>
    <m/>
    <m/>
    <m/>
    <m/>
    <x v="0"/>
    <x v="0"/>
    <n v="0"/>
  </r>
  <r>
    <s v="Talk back module"/>
    <s v="Component"/>
    <x v="77"/>
    <s v="Component - Talk back module"/>
    <s v="Module dieTalkBack geeft de gebruiker gesproken feedback geeft , zodat deze zijn apparaat ook kan gebruiken zonder dat hij naar het scherm hoeft te kijken."/>
    <x v="0"/>
    <m/>
    <m/>
    <m/>
    <m/>
    <x v="0"/>
    <x v="0"/>
    <n v="0"/>
  </r>
  <r>
    <s v="UI componenten"/>
    <s v="Component"/>
    <x v="78"/>
    <s v="Component - UI componenten"/>
    <s v="nader te definiëren_x000a_"/>
    <x v="0"/>
    <m/>
    <m/>
    <m/>
    <m/>
    <x v="0"/>
    <x v="0"/>
    <n v="0"/>
  </r>
  <r>
    <s v="Virutele assistent???"/>
    <s v="Component"/>
    <x v="79"/>
    <s v="Component - Virutele assistent???"/>
    <s v="nader te definiëren_x000a_"/>
    <x v="0"/>
    <m/>
    <m/>
    <m/>
    <m/>
    <x v="0"/>
    <x v="0"/>
    <n v="0"/>
  </r>
  <r>
    <s v="Voice &amp; Speech"/>
    <s v="Component"/>
    <x v="80"/>
    <s v="Component - Voice &amp; Speech"/>
    <m/>
    <x v="0"/>
    <m/>
    <m/>
    <m/>
    <m/>
    <x v="0"/>
    <x v="0"/>
    <n v="0"/>
  </r>
  <r>
    <s v="Data Lake"/>
    <s v="IoT engines"/>
    <x v="81"/>
    <s v="IoT engines - Data Lake"/>
    <s v="nader te definiëren_x000a_"/>
    <x v="0"/>
    <m/>
    <m/>
    <m/>
    <m/>
    <x v="0"/>
    <x v="0"/>
    <n v="0"/>
  </r>
  <r>
    <s v="IoT Gateway"/>
    <s v="IoT engines"/>
    <x v="82"/>
    <s v="IoT engines - IoT Gateway"/>
    <s v="De IoT Gateway beheert IoT devices én tapt real-time datastromen af om verder te gebruikem_x000a_De afgetapte data wordt vervolgens doorgegeven aan het data lake en/of andere software componenten voor verdere verwerking en analyse."/>
    <x v="0"/>
    <m/>
    <m/>
    <m/>
    <m/>
    <x v="0"/>
    <x v="0"/>
    <n v="0"/>
  </r>
  <r>
    <s v="Metadata mangement"/>
    <s v="IoT engines"/>
    <x v="83"/>
    <s v="IoT engines - Metadata mangement"/>
    <s v="nader te definiëren_x000a_"/>
    <x v="0"/>
    <m/>
    <m/>
    <m/>
    <m/>
    <x v="0"/>
    <x v="0"/>
    <n v="0"/>
  </r>
  <r>
    <s v="Profiing"/>
    <s v="IoT engines"/>
    <x v="84"/>
    <s v="IoT engines - Profiing"/>
    <s v="nader te definiëren_x000a_"/>
    <x v="0"/>
    <m/>
    <m/>
    <m/>
    <m/>
    <x v="0"/>
    <x v="0"/>
    <n v="0"/>
  </r>
  <r>
    <s v="Realtime Processing"/>
    <s v="IoT engines"/>
    <x v="85"/>
    <s v="IoT engines - Realtime Processing"/>
    <s v="nader te definiëren_x000a_"/>
    <x v="0"/>
    <m/>
    <m/>
    <m/>
    <m/>
    <x v="0"/>
    <x v="0"/>
    <n v="0"/>
  </r>
  <r>
    <s v="Robotics gateway"/>
    <s v="IoT engines"/>
    <x v="86"/>
    <s v="IoT engines - Robotics gateway"/>
    <s v="nader te definiëren_x000a_"/>
    <x v="0"/>
    <m/>
    <m/>
    <m/>
    <m/>
    <x v="0"/>
    <x v="0"/>
    <n v="0"/>
  </r>
  <r>
    <s v="(ver)Bouwen"/>
    <s v="Klantvragen"/>
    <x v="87"/>
    <s v="Klantvragen - (ver)Bouwen"/>
    <s v="Ik wil (ver)bouwen"/>
    <x v="0"/>
    <m/>
    <m/>
    <m/>
    <m/>
    <x v="0"/>
    <x v="0"/>
    <n v="0"/>
  </r>
  <r>
    <s v="Basisgegevens"/>
    <s v="Klantvragen"/>
    <x v="88"/>
    <s v="Klantvragen - Basisgegevens"/>
    <s v="Ik heb een vraag over mijn basisgegevens"/>
    <x v="0"/>
    <m/>
    <m/>
    <s v="gemeente Eindhoven"/>
    <s v="Weave"/>
    <x v="1"/>
    <x v="1"/>
    <n v="122"/>
  </r>
  <r>
    <s v="Bezwaar"/>
    <s v="Klantvragen"/>
    <x v="89"/>
    <s v="Klantvragen - Bezwaar"/>
    <s v="Ik wil bezwaar maken"/>
    <x v="0"/>
    <m/>
    <m/>
    <s v="gemeente Eindhoven"/>
    <s v="Weave"/>
    <x v="1"/>
    <x v="1"/>
    <n v="122"/>
  </r>
  <r>
    <s v="Idee"/>
    <s v="Klantvragen"/>
    <x v="90"/>
    <s v="Klantvragen - Idee"/>
    <s v="Ik heb een briljant idee"/>
    <x v="0"/>
    <m/>
    <m/>
    <s v="gemeente Eindhoven"/>
    <s v="Weave"/>
    <x v="1"/>
    <x v="1"/>
    <n v="122"/>
  </r>
  <r>
    <s v="Inkomen"/>
    <s v="Klantvragen"/>
    <x v="91"/>
    <s v="Klantvragen - Inkomen"/>
    <s v="Ik heb (bijna) geen inkomen"/>
    <x v="0"/>
    <m/>
    <m/>
    <m/>
    <m/>
    <x v="0"/>
    <x v="0"/>
    <n v="0"/>
  </r>
  <r>
    <s v="Klacht"/>
    <s v="Klantvragen"/>
    <x v="92"/>
    <s v="Klantvragen - Klacht"/>
    <s v="Ik heb een klacht"/>
    <x v="0"/>
    <m/>
    <m/>
    <s v="gemeente Eindhoven"/>
    <s v="Weave"/>
    <x v="1"/>
    <x v="1"/>
    <n v="122"/>
  </r>
  <r>
    <s v="Leven in NL"/>
    <s v="Klantvragen"/>
    <x v="93"/>
    <s v="Klantvragen - Leven in NL"/>
    <s v="Ik wil een leven opbouwen in Nederland"/>
    <x v="0"/>
    <m/>
    <m/>
    <m/>
    <m/>
    <x v="0"/>
    <x v="0"/>
    <n v="0"/>
  </r>
  <r>
    <s v="Onderdak"/>
    <s v="Klantvragen"/>
    <x v="94"/>
    <s v="Klantvragen - Onderdak"/>
    <s v="Ik heb geen onderdak"/>
    <x v="0"/>
    <m/>
    <m/>
    <m/>
    <m/>
    <x v="0"/>
    <x v="0"/>
    <n v="0"/>
  </r>
  <r>
    <s v="Ondernemen"/>
    <s v="Klantvragen"/>
    <x v="95"/>
    <s v="Klantvragen - Ondernemen"/>
    <s v="Ik wil ondernemen"/>
    <x v="0"/>
    <m/>
    <m/>
    <m/>
    <m/>
    <x v="0"/>
    <x v="0"/>
    <n v="0"/>
  </r>
  <r>
    <s v="Ondersteuning"/>
    <s v="Klantvragen"/>
    <x v="96"/>
    <s v="Klantvragen - Ondersteuning"/>
    <s v="Ik wil ondersteuning"/>
    <x v="0"/>
    <m/>
    <m/>
    <m/>
    <m/>
    <x v="0"/>
    <x v="0"/>
    <n v="0"/>
  </r>
  <r>
    <s v="Organiseren"/>
    <s v="Klantvragen"/>
    <x v="97"/>
    <s v="Klantvragen - Organiseren"/>
    <s v="Ik wil iets organiseren"/>
    <x v="0"/>
    <m/>
    <m/>
    <m/>
    <m/>
    <x v="0"/>
    <x v="0"/>
    <n v="0"/>
  </r>
  <r>
    <s v="Parkeren"/>
    <s v="Klantvragen"/>
    <x v="98"/>
    <s v="Klantvragen - Parkeren"/>
    <s v="Ik wil parkeren"/>
    <x v="0"/>
    <m/>
    <m/>
    <m/>
    <m/>
    <x v="0"/>
    <x v="0"/>
    <n v="0"/>
  </r>
  <r>
    <s v="Schulden"/>
    <s v="Klantvragen"/>
    <x v="99"/>
    <s v="Klantvragen - Schulden"/>
    <s v="Ik heb schulden"/>
    <x v="0"/>
    <m/>
    <m/>
    <m/>
    <m/>
    <x v="0"/>
    <x v="0"/>
    <n v="0"/>
  </r>
  <r>
    <s v="Trouwen"/>
    <s v="Klantvragen"/>
    <x v="100"/>
    <s v="Klantvragen - Trouwen"/>
    <s v="Ik wil trouwen"/>
    <x v="3"/>
    <m/>
    <m/>
    <s v="gemeente Eindhoven / Utrecht"/>
    <s v="Weave / …"/>
    <x v="1"/>
    <x v="1"/>
    <n v="122"/>
  </r>
  <r>
    <s v="Verhuizen"/>
    <s v="Klantvragen"/>
    <x v="101"/>
    <s v="Klantvragen - Verhuizen"/>
    <s v="Ik wil verhuizen"/>
    <x v="3"/>
    <m/>
    <m/>
    <s v="gemeente Eindhoven"/>
    <s v="Weave"/>
    <x v="1"/>
    <x v="1"/>
    <n v="122"/>
  </r>
  <r>
    <s v="DigiD"/>
    <s v="Landelijke voorzieningen"/>
    <x v="102"/>
    <s v="Landelijke voorzieningen - DigiD"/>
    <s v="DigiD staat voor Digitale identiteit. Met uw DigiD kunt u inloggen op websites van de overheid en in de zorg. _x000a_Als u inlogt met uw DigiD, stuurt DigiD uw burgerservicenummer ( BSN ) door aan de website van de organisatie waar u inlogt. Alleen organisaties die gerechtigd zijn het BSN te gebruiken mogen van DigiD gebruikmaken. Zo weten organisaties wie u bent. _x000a__x000a_Er worden geen persoonlijke gegevens opgeslagen en uw wachtwoord en gebruikersnaam worden nooit doorgestuurd aan andere organisaties."/>
    <x v="2"/>
    <m/>
    <m/>
    <m/>
    <m/>
    <x v="0"/>
    <x v="0"/>
    <n v="0"/>
  </r>
  <r>
    <s v="eHerkenning"/>
    <s v="Landelijke voorzieningen"/>
    <x v="103"/>
    <s v="Landelijke voorzieningen - eHerkenning"/>
    <s v="eHerkenning is de manier van inloggen voor ondernemers. Met een eHerkenningsmiddel logt u op 1 manier veilig in bij alle aangesloten organisaties."/>
    <x v="2"/>
    <m/>
    <m/>
    <m/>
    <m/>
    <x v="0"/>
    <x v="0"/>
    <n v="0"/>
  </r>
  <r>
    <s v="eID"/>
    <s v="Landelijke voorzieningen"/>
    <x v="104"/>
    <s v="Landelijke voorzieningen - eID"/>
    <s v="De overheid wil graag dat mensen veilig kunnen inloggen bij overheidsorganisaties en zorginstellingen. Dit noemen we eID. eID staat voor elektronische identiteit. De overheid wil dat burgers meer zaken kunnen regelen via internet. Om die reden wordt stapsgewijs gewerkt aan het verhogen van het betrouwbaarheidsniveau van de inlogmiddelen en het waarborgen van de continuïteit."/>
    <x v="0"/>
    <m/>
    <m/>
    <m/>
    <m/>
    <x v="0"/>
    <x v="0"/>
    <n v="0"/>
  </r>
  <r>
    <s v="Itsme"/>
    <s v="Landelijke voorzieningen"/>
    <x v="105"/>
    <s v="Landelijke voorzieningen - Itsme"/>
    <s v="Itsme is een nieuwe manier om veilig bij zowel publieke als private partijen in te loggen bij verschillende online diensten. "/>
    <x v="0"/>
    <m/>
    <m/>
    <m/>
    <m/>
    <x v="0"/>
    <x v="0"/>
    <n v="0"/>
  </r>
  <r>
    <s v="Life Events"/>
    <s v="Landelijke voorzieningen"/>
    <x v="106"/>
    <s v="Landelijke voorzieningen - Life Events"/>
    <s v="De component Life Events biedt de inwoner en ondernemer toegang naar informatie en zaken organiseren bij de digitale overheid. Bij een life event wordt de inwoner/ondernemer geïnformeerd over rechten en plichten, en welke zaken hij kan of moet regelen met de overheid. Hij wordt toegeleid naar meer informatie en specifieke dienstverlening op de site van de verantwoordelijke uitvoerder"/>
    <x v="1"/>
    <m/>
    <m/>
    <m/>
    <m/>
    <x v="1"/>
    <x v="1"/>
    <n v="122"/>
  </r>
  <r>
    <s v="NLX"/>
    <s v="Landelijke voorzieningen"/>
    <x v="107"/>
    <s v="Landelijke voorzieningen - NLX"/>
    <s v="NLX is binnen het 5-lagen model van Common Ground de verbindingslaag die data kan ontsluiten naar de voorkant. "/>
    <x v="2"/>
    <m/>
    <m/>
    <s v="VNG"/>
    <m/>
    <x v="0"/>
    <x v="0"/>
    <n v="0"/>
  </r>
  <r>
    <s v="Vind Catalogus"/>
    <s v="Landelijke voorzieningen"/>
    <x v="108"/>
    <s v="Landelijke voorzieningen - Vind Catalogus"/>
    <s v="Teksten van meer dan 400 gemeentelijke producten en diensten, aangevuld met ruim 2.200 Vraag-Antwoord combinaties (VAC's). Multichannel publishing - enkelvoudig beheer van content - publicatie via meerdere kanalen, op basis van xml/webservices koppelingen. Beheer van juridisch correcte, begrijpelijke teksten door expert redactie. Zelf (gemeente-specifieke) teksten maken, wijzigen en publiceren. In alle kanalen hetzelfde antwoord. Aan te sluiten op alle website / CMS- en KCC-leveranciers, kennisbanken, zaaksystemen, afsprakensystemen. Voldoet aan content standaarden - STUF, UPL, Samenwerkende catalogi, TIO Metadatering van content, trefwoorden en thematische indeling van producten en diensten"/>
    <x v="2"/>
    <m/>
    <m/>
    <m/>
    <m/>
    <x v="0"/>
    <x v="0"/>
    <n v="0"/>
  </r>
  <r>
    <s v="(AVG) Logging"/>
    <s v="Platform engine"/>
    <x v="109"/>
    <s v="Platform engine - (AVG) Logging"/>
    <s v="mechanisme dat alle transacties waar gegevens bij zijn betrokken logt: systeem, doelbinding, organisatie id, persoon id, proces id…."/>
    <x v="1"/>
    <m/>
    <m/>
    <m/>
    <m/>
    <x v="1"/>
    <x v="1"/>
    <n v="122"/>
  </r>
  <r>
    <s v="API Gateway / store"/>
    <s v="Platform engine"/>
    <x v="110"/>
    <s v="Platform engine - API Gateway / store"/>
    <s v="beheren van beschikbaar gestelde api's vanuit een organisatie_x000a_API's beschikbaar gesteld aan NLX, worden automatisch opgenomen in API register van NLX!!"/>
    <x v="0"/>
    <m/>
    <m/>
    <m/>
    <m/>
    <x v="0"/>
    <x v="0"/>
    <n v="0"/>
  </r>
  <r>
    <s v="Attribuut module"/>
    <s v="Platform engine"/>
    <x v="110"/>
    <s v="Platform engine - Attribuut module"/>
    <s v="De module zorgt voor het vertalen van gegevens opgehaald vanuit een bron naar validaties zoals leeftijd &gt; 18 jaar, inkomen &lt; 20.000 "/>
    <x v="0"/>
    <m/>
    <m/>
    <m/>
    <m/>
    <x v="0"/>
    <x v="0"/>
    <n v="0"/>
  </r>
  <r>
    <s v="ESB"/>
    <s v="Platform engine"/>
    <x v="111"/>
    <s v="Platform engine - ESB"/>
    <s v="Een enterprise service bus (ESB) is een architecturale softwareconstructie (pattern) waarmee de communicatie tussen de afnemers van diensten (“service”) en aanbieders hiervan, vereenvoudigd wordt. De ESB biedt hiertoe aan de kant van de aanvrager een met de aanvrager afgesproken interface aan, dit kan een webservice zijn, maar bijvoorbeeld ook een SMTP (e-mail) interface. Aan de kant van de aanbieder zal de ESB via de interface die met de aanbieder is afgesproken communiceren. Zo kan het dus gebeuren dat een aanvrager van een dienst op een compleet andere wijze met de ESB communiceert dan de ESB met de aanbieder. Onderstaande figuur geeft dit schematisch weer. "/>
    <x v="0"/>
    <m/>
    <m/>
    <m/>
    <m/>
    <x v="1"/>
    <x v="1"/>
    <n v="122"/>
  </r>
  <r>
    <s v="Gebruikersbeheer"/>
    <s v="Platform engine"/>
    <x v="112"/>
    <s v="Platform engine - Gebruikersbeheer"/>
    <s v="Gebruikersbeheer is het proces dat gericht is op het administreren van gebruikers van IT- en informatiesystemen. Het bestaat uit twee onderdelen: registratie (vastleggen van de juiste identiteitsinformatie) en autorisatie (toekennen van autorisaties en gebruikersrechten aan gebruikers)"/>
    <x v="3"/>
    <m/>
    <m/>
    <s v="gemeente Eindhoven"/>
    <s v="Weave"/>
    <x v="1"/>
    <x v="1"/>
    <n v="122"/>
  </r>
  <r>
    <s v="Gebruikersbeheer"/>
    <s v="Component"/>
    <x v="113"/>
    <s v="Component - Gebruikersbeheer"/>
    <s v="Module om beheer over gebruikers te kunnen uitvoeren"/>
    <x v="0"/>
    <m/>
    <m/>
    <m/>
    <m/>
    <x v="0"/>
    <x v="0"/>
    <m/>
  </r>
  <r>
    <s v="Identiteit en toegang"/>
    <s v="Platform engine"/>
    <x v="114"/>
    <s v="Platform engine - Identiteit en toegang"/>
    <s v="De Identity &amp; Access engine faciliteert de toegang van een gebruiker tot een toepassingen of een set van functionaliteiten._x000a__x000a_De engine voorziet in:_x000a_•authenticatie adhv eID,  itsme, DigiD _x000a_•authenticatie adhv user / paswoord (voor beheerdersomgeving bijv.)_x000a_•het ophalen van permissies"/>
    <x v="3"/>
    <m/>
    <m/>
    <m/>
    <m/>
    <x v="0"/>
    <x v="0"/>
    <n v="0"/>
  </r>
  <r>
    <s v="Look and Feel (dienstverlener)"/>
    <s v="Platform engine"/>
    <x v="115"/>
    <s v="Platform engine - Look and Feel (dienstverlener)"/>
    <s v="Met deze module is het mogelijk voor een dienstverlener om zijn content te eigen organisatie look and feel mee te geven"/>
    <x v="0"/>
    <m/>
    <m/>
    <m/>
    <m/>
    <x v="0"/>
    <x v="0"/>
    <n v="0"/>
  </r>
  <r>
    <s v="Workflow engine (BPM)"/>
    <s v="Platform engine"/>
    <x v="116"/>
    <s v="Platform engine - Workflow engine (BPM)"/>
    <s v="Een workflow-engine is een softwaretoepassing of tool die is ontworpen om gebruikers te helpen bij het afdwingen van een reeks terugkerende taken die samen een 'bedrijfsproces' of een 'workflow' vormen. Ze nemen signalen uit het ontwerp van de workflow en begeleiden het proces via de verschillende stappen. Dit gebeurt via taakroutering, ook wel werkstroomautomatisering genoemd._x000a__x000a_Uit voorgedefinieerde processtappen/beslismomenten zijn API's te bevragen/ aan te roepen. De flow is de technische motor van de klantvraag..._x000a_Combineren met de klantvriendelijke klantvraageditor"/>
    <x v="0"/>
    <m/>
    <m/>
    <m/>
    <m/>
    <x v="0"/>
    <x v="0"/>
    <n v="0"/>
  </r>
  <r>
    <s v="Evaluatie / klanttevredenheid"/>
    <s v="Component"/>
    <x v="117"/>
    <s v="Component - Evaluatie / klanttevredenheid"/>
    <s v="Functionaliteit waarmee een gebruiker een beoordeling kan geven over de informatie, de afhandeling van vragen, de dientsverlening. Beoordelingen kunnen beheerd worden door dienstverlenende partij"/>
    <x v="0"/>
    <m/>
    <m/>
    <m/>
    <m/>
    <x v="0"/>
    <x v="0"/>
    <n v="0"/>
  </r>
  <r>
    <s v="Stemmodule"/>
    <s v="Component"/>
    <x v="118"/>
    <s v="Component - Stemmodule"/>
    <s v="Module om onlinepeilingen en stemmingen te maken en de resultaten te vergaren en beheren"/>
    <x v="0"/>
    <m/>
    <m/>
    <m/>
    <m/>
    <x v="0"/>
    <x v="0"/>
    <n v="0"/>
  </r>
  <r>
    <s v="Aanbeveling / beoordeling_x000a_"/>
    <s v="Platform engine"/>
    <x v="119"/>
    <s v="Platform engine - Aanbeveling / beoordeling_x000a_"/>
    <s v="Engine om aanbevelingen en beoordelingen te registreren en beheren??"/>
    <x v="0"/>
    <m/>
    <m/>
    <m/>
    <m/>
    <x v="0"/>
    <x v="0"/>
    <n v="0"/>
  </r>
  <r>
    <s v="Verhuisorder"/>
    <s v="API"/>
    <x v="120"/>
    <s v="API - Verhuisorder"/>
    <s v="Vanuit de klantvraag wordt een JSON bericht samengesteld met daarin alle gegevens uit de verhuisflow._x000a__x000a_N.B. in deze API kunnen ook JSON berichten samengesteld worden waarin alleen de goedkeuring van partner en/of getuigen zijn opgenomen_x000a__x000a_registratieID krijg je terug van de backoffice applicatie._x000a_Deze API wordt gebruikt in de eerste fase wanneer nog geen Zaakregistratie component wordt gebruikt en dus een specifieke interface nodig is naar een backoffice applicatie"/>
    <x v="0"/>
    <m/>
    <m/>
    <m/>
    <m/>
    <x v="0"/>
    <x v="0"/>
    <m/>
  </r>
  <r>
    <s v="Mailserver"/>
    <s v="Platform engine"/>
    <x v="121"/>
    <s v="Platform engine - Mailserver"/>
    <m/>
    <x v="0"/>
    <m/>
    <m/>
    <m/>
    <m/>
    <x v="0"/>
    <x v="0"/>
    <m/>
  </r>
  <r>
    <s v="Betaalengine"/>
    <s v="Platform engine"/>
    <x v="122"/>
    <s v="Platform engine - Betaalengine"/>
    <m/>
    <x v="0"/>
    <m/>
    <m/>
    <m/>
    <m/>
    <x v="0"/>
    <x v="0"/>
    <m/>
  </r>
  <r>
    <s v="Admin &amp; Config"/>
    <s v="Beheeromgeving smart toolbox"/>
    <x v="123"/>
    <s v="Beheeromgeving smart toolbox - Admin &amp; Config"/>
    <s v="Nader te definiëren_x000a_Afhankelijk van de positionering van de smart toolbox elementen zullen er een aantal onderdelen nodig zijn voor beheer, marktplaats etc…. "/>
    <x v="0"/>
    <m/>
    <m/>
    <m/>
    <m/>
    <x v="0"/>
    <x v="0"/>
    <m/>
  </r>
  <r>
    <s v="Reken module"/>
    <s v="Component"/>
    <x v="124"/>
    <s v="Component - Reken module"/>
    <s v="Toepassing waarmee online in MijnApp berekenen gemaakt kunnen worden (optellen, aftrekken, delen, vermenigvuldigen, procenten)"/>
    <x v="0"/>
    <m/>
    <m/>
    <m/>
    <m/>
    <x v="0"/>
    <x v="0"/>
    <m/>
  </r>
  <r>
    <s v="Dashboard module"/>
    <s v="Component"/>
    <x v="125"/>
    <s v="Component - Dashboard module"/>
    <s v="Snel en overzichtelijk relevante informatie grafisch inzien. Gebruikers kunnen    zelf op een eenvoudige manier nieuwe inzichten aanmaken"/>
    <x v="0"/>
    <m/>
    <m/>
    <m/>
    <m/>
    <x v="0"/>
    <x v="0"/>
    <m/>
  </r>
  <r>
    <s v="MijnOverheid.nl"/>
    <s v="Landelijke voorzieningen"/>
    <x v="126"/>
    <s v="Landelijke voorzieningen - MijnOverheid.nl"/>
    <m/>
    <x v="2"/>
    <m/>
    <m/>
    <m/>
    <m/>
    <x v="0"/>
    <x v="0"/>
    <m/>
  </r>
  <r>
    <s v="MijnPassen"/>
    <s v="Component"/>
    <x v="127"/>
    <s v="Component - MijnPassen"/>
    <s v="Module geeft de gebruiker de mogelijkheid om informatie van al zijn passen op te nemen"/>
    <x v="0"/>
    <m/>
    <m/>
    <m/>
    <m/>
    <x v="0"/>
    <x v="0"/>
    <m/>
  </r>
  <r>
    <s v="Scan module"/>
    <s v="Component"/>
    <x v="128"/>
    <s v="Component - Scan module"/>
    <s v="QR scanner???"/>
    <x v="2"/>
    <m/>
    <m/>
    <m/>
    <m/>
    <x v="0"/>
    <x v="0"/>
    <m/>
  </r>
  <r>
    <s v="Track &amp; trace"/>
    <s v="Component"/>
    <x v="129"/>
    <s v="Component - Track &amp; trace"/>
    <s v="Eenvoudige functionaliteit om statuswijzigingen van een ingediende aanvraag te tonen aan de gebruiker (zolang ZRC 2.0 nog niet in gebruik is)"/>
    <x v="0"/>
    <m/>
    <m/>
    <m/>
    <m/>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1" cacheId="0" applyNumberFormats="0" applyBorderFormats="0" applyFontFormats="0" applyPatternFormats="0" applyAlignmentFormats="0" applyWidthHeightFormats="1" dataCaption="Waarden" missingCaption="&quot;&quot;" updatedVersion="4" minRefreshableVersion="3" showDrill="0" useAutoFormatting="1" pageWrap="1" rowGrandTotals="0" colGrandTotals="0" itemPrintTitles="1" createdVersion="4" indent="0" outline="1" outlineData="1">
  <location ref="A1:D131" firstHeaderRow="1" firstDataRow="1" firstDataCol="4"/>
  <pivotFields count="13">
    <pivotField outline="0" showAll="0" defaultSubtotal="0"/>
    <pivotField outline="0" showAll="0" defaultSubtotal="0"/>
    <pivotField axis="axisRow" showAll="0" defaultSubtotal="0">
      <items count="130">
        <item x="109"/>
        <item x="87"/>
        <item x="119"/>
        <item x="123"/>
        <item x="29"/>
        <item x="30"/>
        <item x="31"/>
        <item x="74"/>
        <item x="36"/>
        <item x="4"/>
        <item x="50"/>
        <item x="88"/>
        <item x="5"/>
        <item x="6"/>
        <item x="51"/>
        <item x="122"/>
        <item x="32"/>
        <item x="89"/>
        <item x="7"/>
        <item x="52"/>
        <item x="33"/>
        <item x="8"/>
        <item x="53"/>
        <item x="9"/>
        <item x="54"/>
        <item x="55"/>
        <item x="10"/>
        <item x="11"/>
        <item x="56"/>
        <item x="12"/>
        <item x="57"/>
        <item x="58"/>
        <item x="71"/>
        <item x="75"/>
        <item x="72"/>
        <item x="34"/>
        <item x="125"/>
        <item x="81"/>
        <item x="46"/>
        <item x="13"/>
        <item x="102"/>
        <item x="103"/>
        <item x="104"/>
        <item x="111"/>
        <item x="117"/>
        <item x="35"/>
        <item x="14"/>
        <item x="15"/>
        <item x="60"/>
        <item x="112"/>
        <item x="45"/>
        <item x="90"/>
        <item x="113"/>
        <item x="114"/>
        <item x="0"/>
        <item x="91"/>
        <item x="37"/>
        <item x="82"/>
        <item x="16"/>
        <item x="105"/>
        <item x="92"/>
        <item x="38"/>
        <item x="93"/>
        <item x="106"/>
        <item x="39"/>
        <item x="115"/>
        <item x="1"/>
        <item x="17"/>
        <item x="61"/>
        <item x="40"/>
        <item x="121"/>
        <item x="27"/>
        <item x="83"/>
        <item x="41"/>
        <item x="2"/>
        <item x="18"/>
        <item x="62"/>
        <item x="107"/>
        <item x="19"/>
        <item x="20"/>
        <item x="42"/>
        <item x="21"/>
        <item x="94"/>
        <item x="95"/>
        <item x="96"/>
        <item x="43"/>
        <item x="22"/>
        <item x="44"/>
        <item x="97"/>
        <item x="98"/>
        <item x="23"/>
        <item x="65"/>
        <item x="76"/>
        <item x="73"/>
        <item x="3"/>
        <item x="84"/>
        <item x="85"/>
        <item x="66"/>
        <item x="67"/>
        <item x="124"/>
        <item x="86"/>
        <item x="99"/>
        <item x="118"/>
        <item x="77"/>
        <item x="28"/>
        <item x="100"/>
        <item x="24"/>
        <item x="78"/>
        <item x="47"/>
        <item x="120"/>
        <item x="101"/>
        <item x="108"/>
        <item x="79"/>
        <item x="80"/>
        <item x="64"/>
        <item x="63"/>
        <item x="48"/>
        <item x="116"/>
        <item x="25"/>
        <item x="68"/>
        <item x="59"/>
        <item x="69"/>
        <item x="70"/>
        <item x="26"/>
        <item x="49"/>
        <item x="110"/>
        <item x="126"/>
        <item x="127"/>
        <item x="128"/>
        <item x="129"/>
      </items>
    </pivotField>
    <pivotField showAll="0" defaultSubtotal="0"/>
    <pivotField showAll="0"/>
    <pivotField axis="axisRow" outline="0" multipleItemSelectionAllowed="1" showAll="0" includeNewItemsInFilter="1" defaultSubtotal="0">
      <items count="5">
        <item x="1"/>
        <item x="2"/>
        <item x="0"/>
        <item m="1" x="4"/>
        <item x="3"/>
      </items>
      <extLst>
        <ext xmlns:x14="http://schemas.microsoft.com/office/spreadsheetml/2009/9/main" uri="{2946ED86-A175-432a-8AC1-64E0C546D7DE}">
          <x14:pivotField fillDownLabels="1"/>
        </ext>
      </extLst>
    </pivotField>
    <pivotField showAll="0"/>
    <pivotField showAll="0"/>
    <pivotField showAll="0" defaultSubtotal="0"/>
    <pivotField showAll="0"/>
    <pivotField axis="axisRow" outline="0" showAll="0" defaultSubtotal="0">
      <items count="3">
        <item x="2"/>
        <item x="1"/>
        <item x="0"/>
      </items>
      <extLst>
        <ext xmlns:x14="http://schemas.microsoft.com/office/spreadsheetml/2009/9/main" uri="{2946ED86-A175-432a-8AC1-64E0C546D7DE}">
          <x14:pivotField fillDownLabels="1"/>
        </ext>
      </extLst>
    </pivotField>
    <pivotField axis="axisRow" outline="0" showAll="0" defaultSubtotal="0">
      <items count="4">
        <item x="2"/>
        <item x="3"/>
        <item x="1"/>
        <item x="0"/>
      </items>
      <extLst>
        <ext xmlns:x14="http://schemas.microsoft.com/office/spreadsheetml/2009/9/main" uri="{2946ED86-A175-432a-8AC1-64E0C546D7DE}">
          <x14:pivotField fillDownLabels="1"/>
        </ext>
      </extLst>
    </pivotField>
    <pivotField showAll="0" defaultSubtotal="0"/>
  </pivotFields>
  <rowFields count="4">
    <field x="5"/>
    <field x="10"/>
    <field x="11"/>
    <field x="2"/>
  </rowFields>
  <rowItems count="130">
    <i>
      <x/>
      <x v="1"/>
      <x v="2"/>
      <x/>
    </i>
    <i r="3">
      <x v="12"/>
    </i>
    <i r="3">
      <x v="20"/>
    </i>
    <i r="3">
      <x v="61"/>
    </i>
    <i r="3">
      <x v="63"/>
    </i>
    <i r="3">
      <x v="97"/>
    </i>
    <i r="3">
      <x v="98"/>
    </i>
    <i r="1">
      <x v="2"/>
      <x v="3"/>
      <x v="32"/>
    </i>
    <i r="3">
      <x v="73"/>
    </i>
    <i>
      <x v="1"/>
      <x v="2"/>
      <x v="3"/>
      <x v="10"/>
    </i>
    <i r="3">
      <x v="19"/>
    </i>
    <i r="3">
      <x v="22"/>
    </i>
    <i r="3">
      <x v="24"/>
    </i>
    <i r="3">
      <x v="28"/>
    </i>
    <i r="3">
      <x v="30"/>
    </i>
    <i r="3">
      <x v="40"/>
    </i>
    <i r="3">
      <x v="41"/>
    </i>
    <i r="3">
      <x v="48"/>
    </i>
    <i r="3">
      <x v="77"/>
    </i>
    <i r="3">
      <x v="78"/>
    </i>
    <i r="3">
      <x v="79"/>
    </i>
    <i r="3">
      <x v="111"/>
    </i>
    <i r="3">
      <x v="119"/>
    </i>
    <i r="3">
      <x v="121"/>
    </i>
    <i r="3">
      <x v="122"/>
    </i>
    <i r="3">
      <x v="123"/>
    </i>
    <i r="3">
      <x v="126"/>
    </i>
    <i r="3">
      <x v="128"/>
    </i>
    <i>
      <x v="2"/>
      <x/>
      <x/>
      <x v="5"/>
    </i>
    <i r="1">
      <x v="1"/>
      <x v="1"/>
      <x v="8"/>
    </i>
    <i r="2">
      <x v="2"/>
      <x v="11"/>
    </i>
    <i r="3">
      <x v="17"/>
    </i>
    <i r="3">
      <x v="43"/>
    </i>
    <i r="3">
      <x v="51"/>
    </i>
    <i r="3">
      <x v="60"/>
    </i>
    <i r="1">
      <x v="2"/>
      <x v="3"/>
      <x v="1"/>
    </i>
    <i r="3">
      <x v="2"/>
    </i>
    <i r="3">
      <x v="3"/>
    </i>
    <i r="3">
      <x v="4"/>
    </i>
    <i r="3">
      <x v="6"/>
    </i>
    <i r="3">
      <x v="7"/>
    </i>
    <i r="3">
      <x v="9"/>
    </i>
    <i r="3">
      <x v="13"/>
    </i>
    <i r="3">
      <x v="14"/>
    </i>
    <i r="3">
      <x v="15"/>
    </i>
    <i r="3">
      <x v="18"/>
    </i>
    <i r="3">
      <x v="21"/>
    </i>
    <i r="3">
      <x v="23"/>
    </i>
    <i r="3">
      <x v="25"/>
    </i>
    <i r="3">
      <x v="26"/>
    </i>
    <i r="3">
      <x v="27"/>
    </i>
    <i r="3">
      <x v="29"/>
    </i>
    <i r="3">
      <x v="31"/>
    </i>
    <i r="3">
      <x v="33"/>
    </i>
    <i r="3">
      <x v="34"/>
    </i>
    <i r="3">
      <x v="35"/>
    </i>
    <i r="3">
      <x v="36"/>
    </i>
    <i r="3">
      <x v="37"/>
    </i>
    <i r="3">
      <x v="38"/>
    </i>
    <i r="3">
      <x v="39"/>
    </i>
    <i r="3">
      <x v="42"/>
    </i>
    <i r="3">
      <x v="44"/>
    </i>
    <i r="3">
      <x v="45"/>
    </i>
    <i r="3">
      <x v="46"/>
    </i>
    <i r="3">
      <x v="47"/>
    </i>
    <i r="3">
      <x v="50"/>
    </i>
    <i r="3">
      <x v="52"/>
    </i>
    <i r="3">
      <x v="54"/>
    </i>
    <i r="3">
      <x v="55"/>
    </i>
    <i r="3">
      <x v="57"/>
    </i>
    <i r="3">
      <x v="58"/>
    </i>
    <i r="3">
      <x v="59"/>
    </i>
    <i r="3">
      <x v="62"/>
    </i>
    <i r="3">
      <x v="64"/>
    </i>
    <i r="3">
      <x v="65"/>
    </i>
    <i r="3">
      <x v="66"/>
    </i>
    <i r="3">
      <x v="67"/>
    </i>
    <i r="3">
      <x v="68"/>
    </i>
    <i r="3">
      <x v="69"/>
    </i>
    <i r="3">
      <x v="70"/>
    </i>
    <i r="3">
      <x v="71"/>
    </i>
    <i r="3">
      <x v="72"/>
    </i>
    <i r="3">
      <x v="74"/>
    </i>
    <i r="3">
      <x v="75"/>
    </i>
    <i r="3">
      <x v="76"/>
    </i>
    <i r="3">
      <x v="80"/>
    </i>
    <i r="3">
      <x v="81"/>
    </i>
    <i r="3">
      <x v="82"/>
    </i>
    <i r="3">
      <x v="83"/>
    </i>
    <i r="3">
      <x v="84"/>
    </i>
    <i r="3">
      <x v="85"/>
    </i>
    <i r="3">
      <x v="86"/>
    </i>
    <i r="3">
      <x v="88"/>
    </i>
    <i r="3">
      <x v="89"/>
    </i>
    <i r="3">
      <x v="90"/>
    </i>
    <i r="3">
      <x v="91"/>
    </i>
    <i r="3">
      <x v="92"/>
    </i>
    <i r="3">
      <x v="93"/>
    </i>
    <i r="3">
      <x v="94"/>
    </i>
    <i r="3">
      <x v="95"/>
    </i>
    <i r="3">
      <x v="96"/>
    </i>
    <i r="3">
      <x v="99"/>
    </i>
    <i r="3">
      <x v="100"/>
    </i>
    <i r="3">
      <x v="101"/>
    </i>
    <i r="3">
      <x v="102"/>
    </i>
    <i r="3">
      <x v="103"/>
    </i>
    <i r="3">
      <x v="104"/>
    </i>
    <i r="3">
      <x v="107"/>
    </i>
    <i r="3">
      <x v="109"/>
    </i>
    <i r="3">
      <x v="112"/>
    </i>
    <i r="3">
      <x v="113"/>
    </i>
    <i r="3">
      <x v="114"/>
    </i>
    <i r="3">
      <x v="115"/>
    </i>
    <i r="3">
      <x v="117"/>
    </i>
    <i r="3">
      <x v="118"/>
    </i>
    <i r="3">
      <x v="120"/>
    </i>
    <i r="3">
      <x v="124"/>
    </i>
    <i r="3">
      <x v="125"/>
    </i>
    <i r="3">
      <x v="127"/>
    </i>
    <i r="3">
      <x v="129"/>
    </i>
    <i>
      <x v="4"/>
      <x v="1"/>
      <x v="2"/>
      <x v="49"/>
    </i>
    <i r="3">
      <x v="56"/>
    </i>
    <i r="3">
      <x v="105"/>
    </i>
    <i r="3">
      <x v="110"/>
    </i>
    <i r="3">
      <x v="116"/>
    </i>
    <i r="1">
      <x v="2"/>
      <x v="3"/>
      <x v="16"/>
    </i>
    <i r="3">
      <x v="53"/>
    </i>
    <i r="3">
      <x v="87"/>
    </i>
    <i r="3">
      <x v="106"/>
    </i>
    <i r="3">
      <x v="108"/>
    </i>
  </rowItems>
  <colItems count="1">
    <i/>
  </colItems>
  <formats count="10">
    <format dxfId="9">
      <pivotArea field="5" type="button" dataOnly="0" labelOnly="1" outline="0" axis="axisRow" fieldPosition="0"/>
    </format>
    <format dxfId="8">
      <pivotArea field="10" type="button" dataOnly="0" labelOnly="1" outline="0" axis="axisRow" fieldPosition="1"/>
    </format>
    <format dxfId="7">
      <pivotArea field="11" type="button" dataOnly="0" labelOnly="1" outline="0" axis="axisRow" fieldPosition="2"/>
    </format>
    <format dxfId="6">
      <pivotArea dataOnly="0" labelOnly="1" fieldPosition="0">
        <references count="1">
          <reference field="5" count="0"/>
        </references>
      </pivotArea>
    </format>
    <format dxfId="5">
      <pivotArea dataOnly="0" labelOnly="1" fieldPosition="0">
        <references count="2">
          <reference field="5" count="1" selected="0">
            <x v="0"/>
          </reference>
          <reference field="10" count="2">
            <x v="0"/>
            <x v="1"/>
          </reference>
        </references>
      </pivotArea>
    </format>
    <format dxfId="4">
      <pivotArea dataOnly="0" labelOnly="1" fieldPosition="0">
        <references count="2">
          <reference field="5" count="1" selected="0">
            <x v="1"/>
          </reference>
          <reference field="10" count="1">
            <x v="2"/>
          </reference>
        </references>
      </pivotArea>
    </format>
    <format dxfId="3">
      <pivotArea dataOnly="0" labelOnly="1" fieldPosition="0">
        <references count="3">
          <reference field="5" count="1" selected="0">
            <x v="0"/>
          </reference>
          <reference field="10" count="1" selected="0">
            <x v="0"/>
          </reference>
          <reference field="11" count="1">
            <x v="0"/>
          </reference>
        </references>
      </pivotArea>
    </format>
    <format dxfId="2">
      <pivotArea dataOnly="0" labelOnly="1" fieldPosition="0">
        <references count="3">
          <reference field="5" count="1" selected="0">
            <x v="0"/>
          </reference>
          <reference field="10" count="1" selected="0">
            <x v="1"/>
          </reference>
          <reference field="11" count="2">
            <x v="1"/>
            <x v="2"/>
          </reference>
        </references>
      </pivotArea>
    </format>
    <format dxfId="1">
      <pivotArea dataOnly="0" labelOnly="1" fieldPosition="0">
        <references count="3">
          <reference field="5" count="1" selected="0">
            <x v="1"/>
          </reference>
          <reference field="10" count="1" selected="0">
            <x v="2"/>
          </reference>
          <reference field="11" count="1">
            <x v="3"/>
          </reference>
        </references>
      </pivotArea>
    </format>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pageSetUpPr fitToPage="1"/>
  </sheetPr>
  <dimension ref="A2:AP45"/>
  <sheetViews>
    <sheetView tabSelected="1" zoomScale="60" zoomScaleNormal="60" workbookViewId="0">
      <selection activeCell="AP51" sqref="AP51"/>
    </sheetView>
  </sheetViews>
  <sheetFormatPr defaultRowHeight="15" x14ac:dyDescent="0.25"/>
  <cols>
    <col min="41" max="41" width="21" customWidth="1"/>
    <col min="42" max="42" width="23.5703125" customWidth="1"/>
  </cols>
  <sheetData>
    <row r="2" spans="1:41" ht="14.45" x14ac:dyDescent="0.35">
      <c r="A2" s="7"/>
    </row>
    <row r="6" spans="1:41" ht="18.600000000000001" x14ac:dyDescent="0.35">
      <c r="AO6" s="17"/>
    </row>
    <row r="8" spans="1:41" ht="18.600000000000001" x14ac:dyDescent="0.35">
      <c r="AO8" s="17"/>
    </row>
    <row r="17" spans="42:42" ht="14.45" x14ac:dyDescent="0.35">
      <c r="AP17" s="8"/>
    </row>
    <row r="18" spans="42:42" ht="14.45" x14ac:dyDescent="0.35">
      <c r="AP18" s="8"/>
    </row>
    <row r="19" spans="42:42" ht="14.45" x14ac:dyDescent="0.35">
      <c r="AP19" s="8"/>
    </row>
    <row r="20" spans="42:42" ht="14.45" x14ac:dyDescent="0.35">
      <c r="AP20" s="8"/>
    </row>
    <row r="21" spans="42:42" ht="14.45" x14ac:dyDescent="0.35">
      <c r="AP21" s="8"/>
    </row>
    <row r="23" spans="42:42" ht="14.45" x14ac:dyDescent="0.35">
      <c r="AP23" s="8"/>
    </row>
    <row r="24" spans="42:42" ht="14.45" x14ac:dyDescent="0.35">
      <c r="AP24" s="8"/>
    </row>
    <row r="25" spans="42:42" ht="14.45" x14ac:dyDescent="0.35">
      <c r="AP25" s="8"/>
    </row>
    <row r="30" spans="42:42" ht="14.45" x14ac:dyDescent="0.35">
      <c r="AP30" s="8"/>
    </row>
    <row r="33" spans="1:42" ht="14.45" x14ac:dyDescent="0.35">
      <c r="AO33" s="8"/>
      <c r="AP33" s="8"/>
    </row>
    <row r="34" spans="1:42" ht="14.45" x14ac:dyDescent="0.35">
      <c r="AO34" s="8"/>
      <c r="AP34" s="8"/>
    </row>
    <row r="36" spans="1:42" ht="14.45" x14ac:dyDescent="0.35">
      <c r="AP36" s="8"/>
    </row>
    <row r="37" spans="1:42" ht="14.45" x14ac:dyDescent="0.35">
      <c r="AP37" s="8"/>
    </row>
    <row r="38" spans="1:42" ht="14.45" x14ac:dyDescent="0.35">
      <c r="AP38" s="8"/>
    </row>
    <row r="39" spans="1:42" ht="14.45" x14ac:dyDescent="0.35">
      <c r="A39" s="7"/>
      <c r="AP39" s="8"/>
    </row>
    <row r="40" spans="1:42" ht="14.45" x14ac:dyDescent="0.35">
      <c r="AP40" s="8"/>
    </row>
    <row r="41" spans="1:42" ht="14.45" x14ac:dyDescent="0.35">
      <c r="AP41" s="8"/>
    </row>
    <row r="42" spans="1:42" ht="14.45" x14ac:dyDescent="0.35">
      <c r="AP42" s="8"/>
    </row>
    <row r="45" spans="1:42" ht="14.45" x14ac:dyDescent="0.35">
      <c r="AP45" s="8"/>
    </row>
  </sheetData>
  <pageMargins left="0.7" right="0.7" top="0.75" bottom="0.75" header="0.3" footer="0.3"/>
  <pageSetup paperSize="9" scale="2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pageSetUpPr fitToPage="1"/>
  </sheetPr>
  <dimension ref="A1:HK135"/>
  <sheetViews>
    <sheetView zoomScale="90" zoomScaleNormal="90" workbookViewId="0">
      <pane ySplit="1" topLeftCell="A34" activePane="bottomLeft" state="frozen"/>
      <selection activeCell="AV43" sqref="AV43"/>
      <selection pane="bottomLeft" activeCell="G38" sqref="G38"/>
    </sheetView>
  </sheetViews>
  <sheetFormatPr defaultColWidth="8.85546875" defaultRowHeight="15" x14ac:dyDescent="0.25"/>
  <cols>
    <col min="1" max="1" width="2.42578125" style="13" customWidth="1"/>
    <col min="2" max="2" width="26.5703125" style="13" customWidth="1"/>
    <col min="3" max="5" width="18.42578125" style="13" customWidth="1"/>
    <col min="6" max="6" width="68.5703125" style="13" customWidth="1"/>
    <col min="7" max="7" width="8.5703125" style="13" customWidth="1"/>
    <col min="8" max="9" width="9.5703125" style="13" hidden="1" customWidth="1"/>
    <col min="10" max="10" width="10.42578125" style="13" customWidth="1"/>
    <col min="11" max="11" width="11.42578125" style="13" customWidth="1"/>
    <col min="12" max="12" width="11.42578125" style="21" customWidth="1"/>
    <col min="13" max="14" width="11.42578125" style="13" customWidth="1"/>
    <col min="15" max="30" width="8.5703125" style="14" customWidth="1"/>
    <col min="31" max="33" width="8.85546875" style="14" customWidth="1"/>
    <col min="34" max="219" width="8.85546875" style="15"/>
    <col min="220" max="16384" width="8.85546875" style="13"/>
  </cols>
  <sheetData>
    <row r="1" spans="1:219" ht="29.1" x14ac:dyDescent="0.35">
      <c r="A1" s="2"/>
      <c r="B1" s="2" t="s">
        <v>11</v>
      </c>
      <c r="C1" s="2" t="s">
        <v>222</v>
      </c>
      <c r="D1" s="2" t="s">
        <v>385</v>
      </c>
      <c r="E1" s="2" t="s">
        <v>384</v>
      </c>
      <c r="F1" s="2" t="s">
        <v>33</v>
      </c>
      <c r="G1" s="2" t="s">
        <v>204</v>
      </c>
      <c r="H1" s="2" t="s">
        <v>34</v>
      </c>
      <c r="I1" s="2" t="s">
        <v>41</v>
      </c>
      <c r="J1" s="2" t="s">
        <v>383</v>
      </c>
      <c r="K1" s="2" t="s">
        <v>142</v>
      </c>
      <c r="L1" s="19" t="s">
        <v>200</v>
      </c>
      <c r="M1" s="2" t="s">
        <v>201</v>
      </c>
      <c r="N1" s="2" t="s">
        <v>382</v>
      </c>
      <c r="O1" s="3" t="s">
        <v>20</v>
      </c>
      <c r="P1" s="3" t="s">
        <v>39</v>
      </c>
      <c r="Q1" s="3" t="s">
        <v>40</v>
      </c>
      <c r="R1" s="3" t="s">
        <v>35</v>
      </c>
      <c r="S1" s="3" t="s">
        <v>36</v>
      </c>
      <c r="T1" s="3" t="s">
        <v>37</v>
      </c>
      <c r="U1" s="3" t="s">
        <v>38</v>
      </c>
      <c r="V1" s="3" t="s">
        <v>84</v>
      </c>
      <c r="W1" s="3" t="s">
        <v>85</v>
      </c>
      <c r="X1" s="3" t="s">
        <v>86</v>
      </c>
      <c r="Y1" s="3" t="s">
        <v>158</v>
      </c>
      <c r="Z1" s="3" t="s">
        <v>87</v>
      </c>
      <c r="AA1" s="3" t="s">
        <v>159</v>
      </c>
      <c r="AB1" s="3" t="s">
        <v>119</v>
      </c>
      <c r="AC1" s="3" t="s">
        <v>196</v>
      </c>
      <c r="AD1" s="3"/>
      <c r="AE1" s="3"/>
      <c r="AF1" s="3"/>
      <c r="AG1" s="3"/>
    </row>
    <row r="2" spans="1:219" s="12" customFormat="1" ht="135" x14ac:dyDescent="0.25">
      <c r="A2" s="4"/>
      <c r="B2" s="4" t="s">
        <v>115</v>
      </c>
      <c r="C2" s="4" t="s">
        <v>93</v>
      </c>
      <c r="D2" s="4" t="str">
        <f>CONCATENATE(B2," (",C2,")")</f>
        <v>Image recognition (AI engines)</v>
      </c>
      <c r="E2" s="4" t="str">
        <f>CONCATENATE(C2," - ",B2,)</f>
        <v>AI engines - Image recognition</v>
      </c>
      <c r="F2" s="4" t="s">
        <v>161</v>
      </c>
      <c r="G2" s="4" t="s">
        <v>205</v>
      </c>
      <c r="H2" s="4"/>
      <c r="I2" s="4"/>
      <c r="J2" s="4"/>
      <c r="K2" s="4"/>
      <c r="L2" s="20"/>
      <c r="M2" s="4"/>
      <c r="N2" s="4">
        <f>M2-L2</f>
        <v>0</v>
      </c>
      <c r="O2" s="5"/>
      <c r="P2" s="5"/>
      <c r="Q2" s="5"/>
      <c r="R2" s="5"/>
      <c r="S2" s="5"/>
      <c r="T2" s="5"/>
      <c r="U2" s="5"/>
      <c r="V2" s="5"/>
      <c r="W2" s="5"/>
      <c r="X2" s="5"/>
      <c r="Y2" s="5"/>
      <c r="Z2" s="5"/>
      <c r="AA2" s="5"/>
      <c r="AB2" s="5"/>
      <c r="AC2" s="5"/>
      <c r="AD2" s="5"/>
      <c r="AE2" s="5"/>
      <c r="AF2" s="5"/>
      <c r="AG2" s="5"/>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row>
    <row r="3" spans="1:219" ht="105" x14ac:dyDescent="0.25">
      <c r="A3" s="4"/>
      <c r="B3" s="4" t="s">
        <v>114</v>
      </c>
      <c r="C3" s="4" t="s">
        <v>93</v>
      </c>
      <c r="D3" s="4" t="str">
        <f t="shared" ref="D3:D6" si="0">CONCATENATE(B3," (",C3,")")</f>
        <v>Machine Learning (AI engines)</v>
      </c>
      <c r="E3" s="4" t="str">
        <f t="shared" ref="E3:E66" si="1">CONCATENATE(C3," - ",B3,)</f>
        <v>AI engines - Machine Learning</v>
      </c>
      <c r="F3" s="4" t="s">
        <v>160</v>
      </c>
      <c r="G3" s="4" t="s">
        <v>205</v>
      </c>
      <c r="H3" s="4"/>
      <c r="I3" s="4"/>
      <c r="J3" s="4"/>
      <c r="K3" s="4"/>
      <c r="L3" s="20"/>
      <c r="M3" s="4"/>
      <c r="N3" s="4">
        <f t="shared" ref="N3:N67" si="2">M3-L3</f>
        <v>0</v>
      </c>
      <c r="O3" s="5"/>
      <c r="P3" s="5"/>
      <c r="Q3" s="5"/>
      <c r="R3" s="5"/>
      <c r="S3" s="5"/>
      <c r="T3" s="5"/>
      <c r="U3" s="5"/>
      <c r="V3" s="5"/>
      <c r="W3" s="5"/>
      <c r="X3" s="5"/>
      <c r="Y3" s="5"/>
      <c r="Z3" s="5"/>
      <c r="AA3" s="5"/>
      <c r="AB3" s="5"/>
      <c r="AC3" s="5"/>
      <c r="AD3" s="5"/>
      <c r="AE3" s="5"/>
      <c r="AF3" s="5"/>
      <c r="AG3" s="5"/>
    </row>
    <row r="4" spans="1:219" ht="150" x14ac:dyDescent="0.25">
      <c r="A4" s="4"/>
      <c r="B4" s="4" t="s">
        <v>113</v>
      </c>
      <c r="C4" s="4" t="s">
        <v>93</v>
      </c>
      <c r="D4" s="4" t="str">
        <f t="shared" si="0"/>
        <v>Natural language processing (AI engines)</v>
      </c>
      <c r="E4" s="4" t="str">
        <f t="shared" si="1"/>
        <v>AI engines - Natural language processing</v>
      </c>
      <c r="F4" s="4" t="s">
        <v>203</v>
      </c>
      <c r="G4" s="4" t="s">
        <v>205</v>
      </c>
      <c r="H4" s="4"/>
      <c r="I4" s="4"/>
      <c r="J4" s="4"/>
      <c r="K4" s="4"/>
      <c r="L4" s="20"/>
      <c r="M4" s="4"/>
      <c r="N4" s="4">
        <f t="shared" si="2"/>
        <v>0</v>
      </c>
      <c r="O4" s="5"/>
      <c r="P4" s="5"/>
      <c r="Q4" s="5"/>
      <c r="R4" s="5"/>
      <c r="S4" s="5"/>
      <c r="T4" s="5"/>
      <c r="U4" s="5"/>
      <c r="V4" s="5"/>
      <c r="W4" s="5"/>
      <c r="X4" s="5"/>
      <c r="Y4" s="5"/>
      <c r="Z4" s="5"/>
      <c r="AA4" s="5"/>
      <c r="AB4" s="5"/>
      <c r="AC4" s="5"/>
      <c r="AD4" s="5"/>
      <c r="AE4" s="5"/>
      <c r="AF4" s="5"/>
      <c r="AG4" s="5"/>
    </row>
    <row r="5" spans="1:219" ht="105" x14ac:dyDescent="0.25">
      <c r="A5" s="4"/>
      <c r="B5" s="4" t="s">
        <v>137</v>
      </c>
      <c r="C5" s="4" t="s">
        <v>93</v>
      </c>
      <c r="D5" s="4" t="str">
        <f t="shared" si="0"/>
        <v>Predictive en prescriptive algorithmes (AI engines)</v>
      </c>
      <c r="E5" s="4" t="str">
        <f t="shared" si="1"/>
        <v>AI engines - Predictive en prescriptive algorithmes</v>
      </c>
      <c r="F5" s="4" t="s">
        <v>202</v>
      </c>
      <c r="G5" s="4" t="s">
        <v>205</v>
      </c>
      <c r="H5" s="4"/>
      <c r="I5" s="4"/>
      <c r="J5" s="4"/>
      <c r="K5" s="4"/>
      <c r="L5" s="20"/>
      <c r="M5" s="4"/>
      <c r="N5" s="4">
        <f t="shared" si="2"/>
        <v>0</v>
      </c>
      <c r="O5" s="5"/>
      <c r="P5" s="5"/>
      <c r="Q5" s="5"/>
      <c r="R5" s="5"/>
      <c r="S5" s="5"/>
      <c r="T5" s="5"/>
      <c r="U5" s="5"/>
      <c r="V5" s="5"/>
      <c r="W5" s="5"/>
      <c r="X5" s="5"/>
      <c r="Y5" s="5"/>
      <c r="Z5" s="5"/>
      <c r="AA5" s="5"/>
      <c r="AB5" s="5"/>
      <c r="AC5" s="5"/>
      <c r="AD5" s="5"/>
      <c r="AE5" s="5"/>
      <c r="AF5" s="5"/>
      <c r="AG5" s="5"/>
    </row>
    <row r="6" spans="1:219" ht="14.45" x14ac:dyDescent="0.35">
      <c r="A6" s="4"/>
      <c r="B6" s="4" t="s">
        <v>23</v>
      </c>
      <c r="C6" s="4" t="s">
        <v>49</v>
      </c>
      <c r="D6" s="4" t="str">
        <f t="shared" si="0"/>
        <v>BAG (API)</v>
      </c>
      <c r="E6" s="4" t="str">
        <f t="shared" si="1"/>
        <v>API - BAG</v>
      </c>
      <c r="F6" s="4" t="s">
        <v>132</v>
      </c>
      <c r="G6" s="4" t="s">
        <v>205</v>
      </c>
      <c r="H6" s="4"/>
      <c r="I6" s="4"/>
      <c r="J6" s="4"/>
      <c r="K6" s="4"/>
      <c r="L6" s="20"/>
      <c r="M6" s="4"/>
      <c r="N6" s="4">
        <f t="shared" si="2"/>
        <v>0</v>
      </c>
      <c r="O6" s="5"/>
      <c r="P6" s="5" t="s">
        <v>44</v>
      </c>
      <c r="Q6" s="5"/>
      <c r="R6" s="5"/>
      <c r="S6" s="5"/>
      <c r="T6" s="5"/>
      <c r="U6" s="5"/>
      <c r="V6" s="5"/>
      <c r="W6" s="5"/>
      <c r="X6" s="5"/>
      <c r="Y6" s="5"/>
      <c r="Z6" s="5"/>
      <c r="AA6" s="5"/>
      <c r="AB6" s="5"/>
      <c r="AC6" s="5"/>
      <c r="AD6" s="5"/>
      <c r="AE6" s="5"/>
      <c r="AF6" s="5"/>
      <c r="AG6" s="5"/>
    </row>
    <row r="7" spans="1:219" ht="57.95" x14ac:dyDescent="0.35">
      <c r="A7" s="4"/>
      <c r="B7" s="4" t="s">
        <v>105</v>
      </c>
      <c r="C7" s="4" t="s">
        <v>49</v>
      </c>
      <c r="D7" s="4" t="str">
        <f>CONCATENATE(B7," (",C7,")")</f>
        <v>Beschikbaarheid Babs
 (API)</v>
      </c>
      <c r="E7" s="4" t="str">
        <f t="shared" si="1"/>
        <v xml:space="preserve">API - Beschikbaarheid Babs
</v>
      </c>
      <c r="F7" s="4" t="s">
        <v>101</v>
      </c>
      <c r="G7" s="4" t="s">
        <v>206</v>
      </c>
      <c r="H7" s="4"/>
      <c r="I7" s="4"/>
      <c r="J7" s="4" t="s">
        <v>209</v>
      </c>
      <c r="K7" s="4" t="s">
        <v>212</v>
      </c>
      <c r="L7" s="20">
        <v>43525</v>
      </c>
      <c r="M7" s="18">
        <v>43647</v>
      </c>
      <c r="N7" s="4">
        <f t="shared" si="2"/>
        <v>122</v>
      </c>
      <c r="O7" s="5" t="s">
        <v>44</v>
      </c>
      <c r="P7" s="5"/>
      <c r="Q7" s="5"/>
      <c r="R7" s="5"/>
      <c r="S7" s="5"/>
      <c r="T7" s="5"/>
      <c r="U7" s="5"/>
      <c r="V7" s="5"/>
      <c r="W7" s="5"/>
      <c r="X7" s="5"/>
      <c r="Y7" s="5"/>
      <c r="Z7" s="5"/>
      <c r="AA7" s="5"/>
      <c r="AB7" s="5"/>
      <c r="AC7" s="5"/>
      <c r="AD7" s="5"/>
      <c r="AE7" s="5"/>
      <c r="AF7" s="5"/>
      <c r="AG7" s="5"/>
    </row>
    <row r="8" spans="1:219" ht="57.95" x14ac:dyDescent="0.35">
      <c r="A8" s="4"/>
      <c r="B8" s="4" t="s">
        <v>106</v>
      </c>
      <c r="C8" s="4" t="s">
        <v>49</v>
      </c>
      <c r="D8" s="4" t="str">
        <f t="shared" ref="D8:D31" si="3">CONCATENATE(B8," (",C8,")")</f>
        <v>Beschikbaarheid locatie
 (API)</v>
      </c>
      <c r="E8" s="4" t="str">
        <f t="shared" si="1"/>
        <v xml:space="preserve">API - Beschikbaarheid locatie
</v>
      </c>
      <c r="F8" s="4" t="s">
        <v>102</v>
      </c>
      <c r="G8" s="4" t="s">
        <v>205</v>
      </c>
      <c r="H8" s="4"/>
      <c r="I8" s="4"/>
      <c r="J8" s="4"/>
      <c r="K8" s="4"/>
      <c r="L8" s="20"/>
      <c r="M8" s="4"/>
      <c r="N8" s="4">
        <f t="shared" si="2"/>
        <v>0</v>
      </c>
      <c r="O8" s="5" t="s">
        <v>44</v>
      </c>
      <c r="P8" s="5"/>
      <c r="Q8" s="5"/>
      <c r="R8" s="5"/>
      <c r="S8" s="5"/>
      <c r="T8" s="5"/>
      <c r="U8" s="5"/>
      <c r="V8" s="5"/>
      <c r="W8" s="5"/>
      <c r="X8" s="5"/>
      <c r="Y8" s="5"/>
      <c r="Z8" s="5"/>
      <c r="AA8" s="5"/>
      <c r="AB8" s="5"/>
      <c r="AC8" s="5"/>
      <c r="AD8" s="5"/>
      <c r="AE8" s="5"/>
      <c r="AF8" s="5"/>
      <c r="AG8" s="5"/>
    </row>
    <row r="9" spans="1:219" ht="14.45" x14ac:dyDescent="0.35">
      <c r="A9" s="4"/>
      <c r="B9" s="4" t="s">
        <v>78</v>
      </c>
      <c r="C9" s="4" t="s">
        <v>49</v>
      </c>
      <c r="D9" s="4" t="str">
        <f t="shared" si="3"/>
        <v>BGT (API)</v>
      </c>
      <c r="E9" s="4" t="str">
        <f t="shared" si="1"/>
        <v>API - BGT</v>
      </c>
      <c r="F9" s="4" t="s">
        <v>128</v>
      </c>
      <c r="G9" s="4" t="s">
        <v>205</v>
      </c>
      <c r="H9" s="4"/>
      <c r="I9" s="4"/>
      <c r="J9" s="4"/>
      <c r="K9" s="4"/>
      <c r="L9" s="20"/>
      <c r="M9" s="4"/>
      <c r="N9" s="4">
        <f t="shared" si="2"/>
        <v>0</v>
      </c>
      <c r="O9" s="5"/>
      <c r="P9" s="5"/>
      <c r="Q9" s="5"/>
      <c r="R9" s="5"/>
      <c r="S9" s="5"/>
      <c r="T9" s="5"/>
      <c r="U9" s="5"/>
      <c r="V9" s="5"/>
      <c r="W9" s="5"/>
      <c r="X9" s="5"/>
      <c r="Y9" s="5"/>
      <c r="Z9" s="5"/>
      <c r="AA9" s="5"/>
      <c r="AB9" s="5"/>
      <c r="AC9" s="5"/>
      <c r="AD9" s="5"/>
      <c r="AE9" s="5"/>
      <c r="AF9" s="5"/>
      <c r="AG9" s="5"/>
    </row>
    <row r="10" spans="1:219" ht="14.45" x14ac:dyDescent="0.35">
      <c r="A10" s="4"/>
      <c r="B10" s="4" t="s">
        <v>22</v>
      </c>
      <c r="C10" s="4" t="s">
        <v>49</v>
      </c>
      <c r="D10" s="4" t="str">
        <f t="shared" si="3"/>
        <v>BRI (API)</v>
      </c>
      <c r="E10" s="4" t="str">
        <f t="shared" si="1"/>
        <v>API - BRI</v>
      </c>
      <c r="F10" s="4" t="s">
        <v>129</v>
      </c>
      <c r="G10" s="4" t="s">
        <v>205</v>
      </c>
      <c r="H10" s="4"/>
      <c r="I10" s="4"/>
      <c r="J10" s="4"/>
      <c r="K10" s="4"/>
      <c r="L10" s="20"/>
      <c r="M10" s="4"/>
      <c r="N10" s="4">
        <f t="shared" si="2"/>
        <v>0</v>
      </c>
      <c r="O10" s="5"/>
      <c r="P10" s="5"/>
      <c r="Q10" s="5"/>
      <c r="R10" s="5"/>
      <c r="S10" s="5"/>
      <c r="T10" s="5"/>
      <c r="U10" s="5"/>
      <c r="V10" s="5"/>
      <c r="W10" s="5"/>
      <c r="X10" s="5"/>
      <c r="Y10" s="5"/>
      <c r="Z10" s="5"/>
      <c r="AA10" s="5"/>
      <c r="AB10" s="5"/>
      <c r="AC10" s="5"/>
      <c r="AD10" s="5"/>
      <c r="AE10" s="5"/>
      <c r="AF10" s="5"/>
      <c r="AG10" s="5"/>
    </row>
    <row r="11" spans="1:219" ht="14.45" x14ac:dyDescent="0.35">
      <c r="A11" s="4"/>
      <c r="B11" s="4" t="s">
        <v>76</v>
      </c>
      <c r="C11" s="4" t="s">
        <v>49</v>
      </c>
      <c r="D11" s="4" t="str">
        <f t="shared" si="3"/>
        <v>BRK (API)</v>
      </c>
      <c r="E11" s="4" t="str">
        <f t="shared" si="1"/>
        <v>API - BRK</v>
      </c>
      <c r="F11" s="4" t="s">
        <v>133</v>
      </c>
      <c r="G11" s="4" t="s">
        <v>205</v>
      </c>
      <c r="H11" s="4"/>
      <c r="I11" s="4"/>
      <c r="J11" s="4"/>
      <c r="K11" s="4"/>
      <c r="L11" s="20"/>
      <c r="M11" s="4"/>
      <c r="N11" s="4">
        <f t="shared" si="2"/>
        <v>0</v>
      </c>
      <c r="O11" s="5"/>
      <c r="P11" s="5" t="s">
        <v>44</v>
      </c>
      <c r="Q11" s="5"/>
      <c r="R11" s="5"/>
      <c r="S11" s="5"/>
      <c r="T11" s="5"/>
      <c r="U11" s="5"/>
      <c r="V11" s="5"/>
      <c r="W11" s="5"/>
      <c r="X11" s="5"/>
      <c r="Y11" s="5"/>
      <c r="Z11" s="5"/>
      <c r="AA11" s="5"/>
      <c r="AB11" s="5"/>
      <c r="AC11" s="5"/>
      <c r="AD11" s="5"/>
      <c r="AE11" s="5"/>
      <c r="AF11" s="5"/>
      <c r="AG11" s="5"/>
    </row>
    <row r="12" spans="1:219" ht="14.45" x14ac:dyDescent="0.35">
      <c r="A12" s="4"/>
      <c r="B12" s="4" t="s">
        <v>104</v>
      </c>
      <c r="C12" s="4" t="s">
        <v>49</v>
      </c>
      <c r="D12" s="4" t="str">
        <f t="shared" si="3"/>
        <v>BRP (landelijk) (API)</v>
      </c>
      <c r="E12" s="4" t="str">
        <f t="shared" si="1"/>
        <v>API - BRP (landelijk)</v>
      </c>
      <c r="F12" s="4" t="s">
        <v>103</v>
      </c>
      <c r="G12" s="4" t="s">
        <v>205</v>
      </c>
      <c r="H12" s="4"/>
      <c r="I12" s="4"/>
      <c r="J12" s="4"/>
      <c r="K12" s="4"/>
      <c r="L12" s="20"/>
      <c r="M12" s="4"/>
      <c r="N12" s="4">
        <f t="shared" si="2"/>
        <v>0</v>
      </c>
      <c r="O12" s="5"/>
      <c r="P12" s="5"/>
      <c r="Q12" s="5"/>
      <c r="R12" s="5"/>
      <c r="S12" s="5"/>
      <c r="T12" s="5"/>
      <c r="U12" s="5"/>
      <c r="V12" s="5"/>
      <c r="W12" s="5"/>
      <c r="X12" s="5"/>
      <c r="Y12" s="5"/>
      <c r="Z12" s="5"/>
      <c r="AA12" s="5"/>
      <c r="AB12" s="5"/>
      <c r="AC12" s="5"/>
      <c r="AD12" s="5"/>
      <c r="AE12" s="5"/>
      <c r="AF12" s="5"/>
      <c r="AG12" s="5"/>
    </row>
    <row r="13" spans="1:219" ht="14.45" x14ac:dyDescent="0.35">
      <c r="A13" s="4"/>
      <c r="B13" s="4" t="s">
        <v>77</v>
      </c>
      <c r="C13" s="4" t="s">
        <v>49</v>
      </c>
      <c r="D13" s="4" t="str">
        <f t="shared" si="3"/>
        <v>BRT (API)</v>
      </c>
      <c r="E13" s="4" t="str">
        <f t="shared" si="1"/>
        <v>API - BRT</v>
      </c>
      <c r="F13" s="4" t="s">
        <v>130</v>
      </c>
      <c r="G13" s="4" t="s">
        <v>205</v>
      </c>
      <c r="H13" s="4"/>
      <c r="I13" s="4"/>
      <c r="J13" s="4"/>
      <c r="K13" s="4"/>
      <c r="L13" s="20"/>
      <c r="M13" s="4"/>
      <c r="N13" s="4">
        <f t="shared" si="2"/>
        <v>0</v>
      </c>
      <c r="O13" s="5"/>
      <c r="P13" s="5"/>
      <c r="Q13" s="5"/>
      <c r="R13" s="5"/>
      <c r="S13" s="5"/>
      <c r="T13" s="5"/>
      <c r="U13" s="5"/>
      <c r="V13" s="5"/>
      <c r="W13" s="5"/>
      <c r="X13" s="5"/>
      <c r="Y13" s="5"/>
      <c r="Z13" s="5"/>
      <c r="AA13" s="5"/>
      <c r="AB13" s="5"/>
      <c r="AC13" s="5"/>
      <c r="AD13" s="5"/>
      <c r="AE13" s="5"/>
      <c r="AF13" s="5"/>
      <c r="AG13" s="5"/>
    </row>
    <row r="14" spans="1:219" ht="14.45" x14ac:dyDescent="0.35">
      <c r="A14" s="4"/>
      <c r="B14" s="4" t="s">
        <v>79</v>
      </c>
      <c r="C14" s="4" t="s">
        <v>49</v>
      </c>
      <c r="D14" s="4" t="str">
        <f t="shared" si="3"/>
        <v>BRV (API)</v>
      </c>
      <c r="E14" s="4" t="str">
        <f t="shared" si="1"/>
        <v>API - BRV</v>
      </c>
      <c r="F14" s="4" t="s">
        <v>131</v>
      </c>
      <c r="G14" s="4" t="s">
        <v>205</v>
      </c>
      <c r="H14" s="4"/>
      <c r="I14" s="4"/>
      <c r="J14" s="4"/>
      <c r="K14" s="4"/>
      <c r="L14" s="20"/>
      <c r="M14" s="4"/>
      <c r="N14" s="4">
        <f t="shared" si="2"/>
        <v>0</v>
      </c>
      <c r="O14" s="5"/>
      <c r="P14" s="5"/>
      <c r="Q14" s="5"/>
      <c r="R14" s="5"/>
      <c r="S14" s="5"/>
      <c r="T14" s="5"/>
      <c r="U14" s="5"/>
      <c r="V14" s="5"/>
      <c r="W14" s="5"/>
      <c r="X14" s="5"/>
      <c r="Y14" s="5"/>
      <c r="Z14" s="5"/>
      <c r="AA14" s="5"/>
      <c r="AB14" s="5"/>
      <c r="AC14" s="5"/>
      <c r="AD14" s="5"/>
      <c r="AE14" s="5"/>
      <c r="AF14" s="5"/>
      <c r="AG14" s="5"/>
    </row>
    <row r="15" spans="1:219" ht="14.45" x14ac:dyDescent="0.35">
      <c r="A15" s="4"/>
      <c r="B15" s="9" t="s">
        <v>29</v>
      </c>
      <c r="C15" s="9" t="s">
        <v>49</v>
      </c>
      <c r="D15" s="4" t="str">
        <f t="shared" si="3"/>
        <v>DigiD (API)</v>
      </c>
      <c r="E15" s="4" t="str">
        <f t="shared" si="1"/>
        <v>API - DigiD</v>
      </c>
      <c r="F15" s="4" t="s">
        <v>97</v>
      </c>
      <c r="G15" s="4" t="s">
        <v>205</v>
      </c>
      <c r="H15" s="4"/>
      <c r="I15" s="4"/>
      <c r="J15" s="4"/>
      <c r="K15" s="4"/>
      <c r="L15" s="20"/>
      <c r="M15" s="4"/>
      <c r="N15" s="4">
        <f t="shared" si="2"/>
        <v>0</v>
      </c>
      <c r="O15" s="5" t="s">
        <v>44</v>
      </c>
      <c r="P15" s="5" t="s">
        <v>44</v>
      </c>
      <c r="Q15" s="5"/>
      <c r="R15" s="5"/>
      <c r="S15" s="5"/>
      <c r="T15" s="5"/>
      <c r="U15" s="5"/>
      <c r="V15" s="5"/>
      <c r="W15" s="5"/>
      <c r="X15" s="5"/>
      <c r="Y15" s="5"/>
      <c r="Z15" s="5"/>
      <c r="AA15" s="5"/>
      <c r="AB15" s="5"/>
      <c r="AC15" s="5"/>
      <c r="AD15" s="5"/>
      <c r="AE15" s="5"/>
      <c r="AF15" s="5"/>
      <c r="AG15" s="5"/>
    </row>
    <row r="16" spans="1:219" ht="29.1" x14ac:dyDescent="0.35">
      <c r="A16" s="4"/>
      <c r="B16" s="4" t="s">
        <v>53</v>
      </c>
      <c r="C16" s="4" t="s">
        <v>49</v>
      </c>
      <c r="D16" s="4" t="str">
        <f t="shared" si="3"/>
        <v>Financieel systeem (API)</v>
      </c>
      <c r="E16" s="4" t="str">
        <f t="shared" si="1"/>
        <v>API - Financieel systeem</v>
      </c>
      <c r="F16" s="4" t="s">
        <v>54</v>
      </c>
      <c r="G16" s="4" t="s">
        <v>205</v>
      </c>
      <c r="H16" s="4"/>
      <c r="I16" s="4"/>
      <c r="J16" s="4"/>
      <c r="K16" s="4"/>
      <c r="L16" s="20"/>
      <c r="M16" s="4"/>
      <c r="N16" s="4">
        <f t="shared" si="2"/>
        <v>0</v>
      </c>
      <c r="O16" s="5" t="s">
        <v>198</v>
      </c>
      <c r="P16" s="5"/>
      <c r="Q16" s="5"/>
      <c r="R16" s="5"/>
      <c r="S16" s="5"/>
      <c r="T16" s="5"/>
      <c r="U16" s="5"/>
      <c r="V16" s="5"/>
      <c r="W16" s="5"/>
      <c r="X16" s="5"/>
      <c r="Y16" s="5"/>
      <c r="Z16" s="5"/>
      <c r="AA16" s="5"/>
      <c r="AB16" s="5"/>
      <c r="AC16" s="5"/>
      <c r="AD16" s="5"/>
      <c r="AE16" s="5"/>
      <c r="AF16" s="5"/>
      <c r="AG16" s="5"/>
    </row>
    <row r="17" spans="1:33" ht="14.45" x14ac:dyDescent="0.35">
      <c r="A17" s="4"/>
      <c r="B17" s="4" t="s">
        <v>74</v>
      </c>
      <c r="C17" s="4" t="s">
        <v>49</v>
      </c>
      <c r="D17" s="4" t="str">
        <f t="shared" si="3"/>
        <v>GBA (lokaal) (API)</v>
      </c>
      <c r="E17" s="4" t="str">
        <f t="shared" si="1"/>
        <v>API - GBA (lokaal)</v>
      </c>
      <c r="F17" s="4" t="s">
        <v>103</v>
      </c>
      <c r="G17" s="4" t="s">
        <v>205</v>
      </c>
      <c r="H17" s="4"/>
      <c r="I17" s="4"/>
      <c r="J17" s="4"/>
      <c r="K17" s="4"/>
      <c r="L17" s="20"/>
      <c r="M17" s="4"/>
      <c r="N17" s="4">
        <f t="shared" si="2"/>
        <v>0</v>
      </c>
      <c r="O17" s="5" t="s">
        <v>44</v>
      </c>
      <c r="P17" s="5" t="s">
        <v>44</v>
      </c>
      <c r="Q17" s="5"/>
      <c r="R17" s="5"/>
      <c r="S17" s="5"/>
      <c r="T17" s="5"/>
      <c r="U17" s="5"/>
      <c r="V17" s="5"/>
      <c r="W17" s="5"/>
      <c r="X17" s="5"/>
      <c r="Y17" s="5"/>
      <c r="Z17" s="5"/>
      <c r="AA17" s="5"/>
      <c r="AB17" s="5"/>
      <c r="AC17" s="5"/>
      <c r="AD17" s="5"/>
      <c r="AE17" s="5"/>
      <c r="AF17" s="5"/>
      <c r="AG17" s="5"/>
    </row>
    <row r="18" spans="1:33" ht="14.45" x14ac:dyDescent="0.35">
      <c r="A18" s="4"/>
      <c r="B18" s="9" t="s">
        <v>28</v>
      </c>
      <c r="C18" s="9" t="s">
        <v>49</v>
      </c>
      <c r="D18" s="4" t="str">
        <f t="shared" si="3"/>
        <v>Itsme (API)</v>
      </c>
      <c r="E18" s="4" t="str">
        <f t="shared" si="1"/>
        <v>API - Itsme</v>
      </c>
      <c r="F18" s="4" t="s">
        <v>98</v>
      </c>
      <c r="G18" s="4" t="s">
        <v>205</v>
      </c>
      <c r="H18" s="4"/>
      <c r="I18" s="4"/>
      <c r="J18" s="4"/>
      <c r="K18" s="4"/>
      <c r="L18" s="20"/>
      <c r="M18" s="4"/>
      <c r="N18" s="4">
        <f t="shared" si="2"/>
        <v>0</v>
      </c>
      <c r="O18" s="5" t="s">
        <v>198</v>
      </c>
      <c r="P18" s="5" t="s">
        <v>198</v>
      </c>
      <c r="Q18" s="5"/>
      <c r="R18" s="5"/>
      <c r="S18" s="5"/>
      <c r="T18" s="5"/>
      <c r="U18" s="5"/>
      <c r="V18" s="5"/>
      <c r="W18" s="5"/>
      <c r="X18" s="5"/>
      <c r="Y18" s="5"/>
      <c r="Z18" s="5"/>
      <c r="AA18" s="5"/>
      <c r="AB18" s="5"/>
      <c r="AC18" s="5"/>
      <c r="AD18" s="5"/>
      <c r="AE18" s="5"/>
      <c r="AF18" s="5"/>
      <c r="AG18" s="5"/>
    </row>
    <row r="19" spans="1:33" ht="14.45" x14ac:dyDescent="0.35">
      <c r="A19" s="4"/>
      <c r="B19" s="9" t="s">
        <v>58</v>
      </c>
      <c r="C19" s="9" t="s">
        <v>49</v>
      </c>
      <c r="D19" s="4" t="str">
        <f t="shared" si="3"/>
        <v>Machtigingen (API)</v>
      </c>
      <c r="E19" s="4" t="str">
        <f t="shared" si="1"/>
        <v>API - Machtigingen</v>
      </c>
      <c r="F19" s="4" t="s">
        <v>99</v>
      </c>
      <c r="G19" s="4" t="s">
        <v>205</v>
      </c>
      <c r="H19" s="4"/>
      <c r="I19" s="4"/>
      <c r="J19" s="4"/>
      <c r="K19" s="4"/>
      <c r="L19" s="20"/>
      <c r="M19" s="4"/>
      <c r="N19" s="4">
        <f t="shared" si="2"/>
        <v>0</v>
      </c>
      <c r="O19" s="5" t="s">
        <v>198</v>
      </c>
      <c r="P19" s="5" t="s">
        <v>198</v>
      </c>
      <c r="Q19" s="5"/>
      <c r="R19" s="5"/>
      <c r="S19" s="5"/>
      <c r="T19" s="5"/>
      <c r="U19" s="5"/>
      <c r="V19" s="5"/>
      <c r="W19" s="5"/>
      <c r="X19" s="5"/>
      <c r="Y19" s="5"/>
      <c r="Z19" s="5"/>
      <c r="AA19" s="5"/>
      <c r="AB19" s="5"/>
      <c r="AC19" s="5"/>
      <c r="AD19" s="5"/>
      <c r="AE19" s="5"/>
      <c r="AF19" s="5"/>
      <c r="AG19" s="5"/>
    </row>
    <row r="20" spans="1:33" ht="14.45" x14ac:dyDescent="0.35">
      <c r="A20" s="4"/>
      <c r="B20" s="4" t="s">
        <v>75</v>
      </c>
      <c r="C20" s="4" t="s">
        <v>49</v>
      </c>
      <c r="D20" s="4" t="str">
        <f t="shared" si="3"/>
        <v>NHR (API)</v>
      </c>
      <c r="E20" s="4" t="str">
        <f t="shared" si="1"/>
        <v>API - NHR</v>
      </c>
      <c r="F20" s="4" t="s">
        <v>134</v>
      </c>
      <c r="G20" s="4" t="s">
        <v>205</v>
      </c>
      <c r="H20" s="4"/>
      <c r="I20" s="4"/>
      <c r="J20" s="4"/>
      <c r="K20" s="4"/>
      <c r="L20" s="20"/>
      <c r="M20" s="4"/>
      <c r="N20" s="4">
        <f t="shared" si="2"/>
        <v>0</v>
      </c>
      <c r="O20" s="5"/>
      <c r="P20" s="5"/>
      <c r="Q20" s="5"/>
      <c r="R20" s="5"/>
      <c r="S20" s="5"/>
      <c r="T20" s="5"/>
      <c r="U20" s="5"/>
      <c r="V20" s="5"/>
      <c r="W20" s="5"/>
      <c r="X20" s="5"/>
      <c r="Y20" s="5"/>
      <c r="Z20" s="5"/>
      <c r="AA20" s="5"/>
      <c r="AB20" s="5"/>
      <c r="AC20" s="5"/>
      <c r="AD20" s="5"/>
      <c r="AE20" s="5"/>
      <c r="AF20" s="5"/>
      <c r="AG20" s="5"/>
    </row>
    <row r="21" spans="1:33" ht="14.45" x14ac:dyDescent="0.35">
      <c r="A21" s="4"/>
      <c r="B21" s="9" t="s">
        <v>69</v>
      </c>
      <c r="C21" s="9" t="s">
        <v>49</v>
      </c>
      <c r="D21" s="4" t="str">
        <f t="shared" si="3"/>
        <v>NLX Inway (API)</v>
      </c>
      <c r="E21" s="4" t="str">
        <f t="shared" si="1"/>
        <v>API - NLX Inway</v>
      </c>
      <c r="F21" s="4" t="s">
        <v>100</v>
      </c>
      <c r="G21" s="4" t="s">
        <v>207</v>
      </c>
      <c r="H21" s="4"/>
      <c r="I21" s="4"/>
      <c r="J21" s="4"/>
      <c r="K21" s="4"/>
      <c r="L21" s="20"/>
      <c r="M21" s="4"/>
      <c r="N21" s="4">
        <f t="shared" si="2"/>
        <v>0</v>
      </c>
      <c r="O21" s="5" t="s">
        <v>44</v>
      </c>
      <c r="P21" s="5" t="s">
        <v>44</v>
      </c>
      <c r="Q21" s="5"/>
      <c r="R21" s="5"/>
      <c r="S21" s="5"/>
      <c r="T21" s="5"/>
      <c r="U21" s="5"/>
      <c r="V21" s="5"/>
      <c r="W21" s="5"/>
      <c r="X21" s="5"/>
      <c r="Y21" s="5"/>
      <c r="Z21" s="5"/>
      <c r="AA21" s="5"/>
      <c r="AB21" s="5"/>
      <c r="AC21" s="5"/>
      <c r="AD21" s="5"/>
      <c r="AE21" s="5"/>
      <c r="AF21" s="5"/>
      <c r="AG21" s="5"/>
    </row>
    <row r="22" spans="1:33" ht="14.45" x14ac:dyDescent="0.35">
      <c r="A22" s="4"/>
      <c r="B22" s="9" t="s">
        <v>70</v>
      </c>
      <c r="C22" s="9" t="s">
        <v>49</v>
      </c>
      <c r="D22" s="4" t="str">
        <f t="shared" si="3"/>
        <v>NLX outway (API)</v>
      </c>
      <c r="E22" s="4" t="str">
        <f t="shared" si="1"/>
        <v>API - NLX outway</v>
      </c>
      <c r="F22" s="4" t="s">
        <v>100</v>
      </c>
      <c r="G22" s="4" t="s">
        <v>207</v>
      </c>
      <c r="H22" s="4"/>
      <c r="I22" s="4"/>
      <c r="J22" s="4"/>
      <c r="K22" s="4"/>
      <c r="L22" s="20"/>
      <c r="M22" s="4"/>
      <c r="N22" s="4">
        <f t="shared" si="2"/>
        <v>0</v>
      </c>
      <c r="O22" s="5" t="s">
        <v>44</v>
      </c>
      <c r="P22" s="5" t="s">
        <v>44</v>
      </c>
      <c r="Q22" s="5"/>
      <c r="R22" s="5"/>
      <c r="S22" s="5"/>
      <c r="T22" s="5"/>
      <c r="U22" s="5"/>
      <c r="V22" s="5"/>
      <c r="W22" s="5"/>
      <c r="X22" s="5"/>
      <c r="Y22" s="5"/>
      <c r="Z22" s="5"/>
      <c r="AA22" s="5"/>
      <c r="AB22" s="5"/>
      <c r="AC22" s="5"/>
      <c r="AD22" s="5"/>
      <c r="AE22" s="5"/>
      <c r="AF22" s="5"/>
      <c r="AG22" s="5"/>
    </row>
    <row r="23" spans="1:33" ht="29.1" x14ac:dyDescent="0.35">
      <c r="A23" s="4"/>
      <c r="B23" s="4" t="s">
        <v>43</v>
      </c>
      <c r="C23" s="4" t="s">
        <v>49</v>
      </c>
      <c r="D23" s="4" t="str">
        <f t="shared" si="3"/>
        <v>Notificaties (API)</v>
      </c>
      <c r="E23" s="4" t="str">
        <f t="shared" si="1"/>
        <v>API - Notificaties</v>
      </c>
      <c r="F23" s="4" t="s">
        <v>138</v>
      </c>
      <c r="G23" s="4" t="s">
        <v>205</v>
      </c>
      <c r="H23" s="4"/>
      <c r="I23" s="4"/>
      <c r="J23" s="4"/>
      <c r="K23" s="4"/>
      <c r="L23" s="20"/>
      <c r="M23" s="4"/>
      <c r="N23" s="4">
        <f t="shared" si="2"/>
        <v>0</v>
      </c>
      <c r="O23" s="5"/>
      <c r="P23" s="5"/>
      <c r="Q23" s="5"/>
      <c r="R23" s="5"/>
      <c r="S23" s="5"/>
      <c r="T23" s="5"/>
      <c r="U23" s="5"/>
      <c r="V23" s="5"/>
      <c r="W23" s="5"/>
      <c r="X23" s="5"/>
      <c r="Y23" s="5"/>
      <c r="Z23" s="5"/>
      <c r="AA23" s="5"/>
      <c r="AB23" s="5"/>
      <c r="AC23" s="5"/>
      <c r="AD23" s="5"/>
      <c r="AE23" s="5"/>
      <c r="AF23" s="5"/>
      <c r="AG23" s="5"/>
    </row>
    <row r="24" spans="1:33" ht="29.1" x14ac:dyDescent="0.35">
      <c r="A24" s="4"/>
      <c r="B24" s="4" t="s">
        <v>45</v>
      </c>
      <c r="C24" s="4" t="s">
        <v>49</v>
      </c>
      <c r="D24" s="4" t="str">
        <f t="shared" si="3"/>
        <v>Order (API)</v>
      </c>
      <c r="E24" s="4" t="str">
        <f t="shared" si="1"/>
        <v>API - Order</v>
      </c>
      <c r="F24" s="4" t="s">
        <v>135</v>
      </c>
      <c r="G24" s="4" t="s">
        <v>205</v>
      </c>
      <c r="H24" s="4"/>
      <c r="I24" s="4"/>
      <c r="J24" s="4"/>
      <c r="K24" s="4"/>
      <c r="L24" s="20"/>
      <c r="M24" s="4"/>
      <c r="N24" s="4">
        <f t="shared" si="2"/>
        <v>0</v>
      </c>
      <c r="O24" s="5"/>
      <c r="P24" s="5"/>
      <c r="Q24" s="5"/>
      <c r="R24" s="5"/>
      <c r="S24" s="5"/>
      <c r="T24" s="5"/>
      <c r="U24" s="5"/>
      <c r="V24" s="5"/>
      <c r="W24" s="5"/>
      <c r="X24" s="5"/>
      <c r="Y24" s="5"/>
      <c r="Z24" s="5"/>
      <c r="AA24" s="5"/>
      <c r="AB24" s="5"/>
      <c r="AC24" s="5"/>
      <c r="AD24" s="5"/>
      <c r="AE24" s="5"/>
      <c r="AF24" s="5"/>
      <c r="AG24" s="5"/>
    </row>
    <row r="25" spans="1:33" ht="43.5" x14ac:dyDescent="0.35">
      <c r="A25" s="4"/>
      <c r="B25" s="9" t="s">
        <v>24</v>
      </c>
      <c r="C25" s="9" t="s">
        <v>49</v>
      </c>
      <c r="D25" s="4" t="str">
        <f t="shared" si="3"/>
        <v>PDC (API)</v>
      </c>
      <c r="E25" s="4" t="str">
        <f t="shared" si="1"/>
        <v>API - PDC</v>
      </c>
      <c r="F25" s="4" t="s">
        <v>139</v>
      </c>
      <c r="G25" s="4" t="s">
        <v>205</v>
      </c>
      <c r="H25" s="4"/>
      <c r="I25" s="4"/>
      <c r="J25" s="4"/>
      <c r="K25" s="4"/>
      <c r="L25" s="20"/>
      <c r="M25" s="4"/>
      <c r="N25" s="4">
        <f t="shared" si="2"/>
        <v>0</v>
      </c>
      <c r="O25" s="5"/>
      <c r="P25" s="5"/>
      <c r="Q25" s="5"/>
      <c r="R25" s="5"/>
      <c r="S25" s="5"/>
      <c r="T25" s="5"/>
      <c r="U25" s="5"/>
      <c r="V25" s="5"/>
      <c r="W25" s="5"/>
      <c r="X25" s="5"/>
      <c r="Y25" s="5"/>
      <c r="Z25" s="5"/>
      <c r="AA25" s="5"/>
      <c r="AB25" s="5"/>
      <c r="AC25" s="5"/>
      <c r="AD25" s="5"/>
      <c r="AE25" s="5"/>
      <c r="AF25" s="5"/>
      <c r="AG25" s="5"/>
    </row>
    <row r="26" spans="1:33" ht="144.94999999999999" x14ac:dyDescent="0.35">
      <c r="A26" s="4"/>
      <c r="B26" s="4" t="s">
        <v>55</v>
      </c>
      <c r="C26" s="4" t="s">
        <v>49</v>
      </c>
      <c r="D26" s="4" t="str">
        <f t="shared" si="3"/>
        <v>Trouworder (API)</v>
      </c>
      <c r="E26" s="4" t="str">
        <f t="shared" si="1"/>
        <v>API - Trouworder</v>
      </c>
      <c r="F26" s="4" t="s">
        <v>225</v>
      </c>
      <c r="G26" s="4" t="s">
        <v>412</v>
      </c>
      <c r="H26" s="4"/>
      <c r="I26" s="4"/>
      <c r="J26" s="4"/>
      <c r="K26" s="4"/>
      <c r="L26" s="20"/>
      <c r="M26" s="4"/>
      <c r="N26" s="4">
        <f t="shared" si="2"/>
        <v>0</v>
      </c>
      <c r="O26" s="5" t="s">
        <v>44</v>
      </c>
      <c r="P26" s="5"/>
      <c r="Q26" s="5"/>
      <c r="R26" s="5"/>
      <c r="S26" s="5"/>
      <c r="T26" s="5"/>
      <c r="U26" s="5"/>
      <c r="V26" s="5"/>
      <c r="W26" s="5"/>
      <c r="X26" s="5"/>
      <c r="Y26" s="5"/>
      <c r="Z26" s="5"/>
      <c r="AA26" s="5"/>
      <c r="AB26" s="5"/>
      <c r="AC26" s="5"/>
      <c r="AD26" s="5"/>
      <c r="AE26" s="5"/>
      <c r="AF26" s="5"/>
      <c r="AG26" s="5"/>
    </row>
    <row r="27" spans="1:33" ht="14.45" x14ac:dyDescent="0.35">
      <c r="A27" s="4"/>
      <c r="B27" s="4" t="s">
        <v>80</v>
      </c>
      <c r="C27" s="4" t="s">
        <v>49</v>
      </c>
      <c r="D27" s="4" t="str">
        <f t="shared" si="3"/>
        <v>WOZ (API)</v>
      </c>
      <c r="E27" s="4" t="str">
        <f t="shared" si="1"/>
        <v>API - WOZ</v>
      </c>
      <c r="F27" s="4" t="s">
        <v>136</v>
      </c>
      <c r="G27" s="4" t="s">
        <v>205</v>
      </c>
      <c r="H27" s="4"/>
      <c r="I27" s="4"/>
      <c r="J27" s="4"/>
      <c r="K27" s="4"/>
      <c r="L27" s="20"/>
      <c r="M27" s="4"/>
      <c r="N27" s="4">
        <f t="shared" si="2"/>
        <v>0</v>
      </c>
      <c r="O27" s="5"/>
      <c r="P27" s="5"/>
      <c r="Q27" s="5"/>
      <c r="R27" s="5"/>
      <c r="S27" s="5"/>
      <c r="T27" s="5"/>
      <c r="U27" s="5"/>
      <c r="V27" s="5"/>
      <c r="W27" s="5"/>
      <c r="X27" s="5"/>
      <c r="Y27" s="5"/>
      <c r="Z27" s="5"/>
      <c r="AA27" s="5"/>
      <c r="AB27" s="5"/>
      <c r="AC27" s="5"/>
      <c r="AD27" s="5"/>
      <c r="AE27" s="5"/>
      <c r="AF27" s="5"/>
      <c r="AG27" s="5"/>
    </row>
    <row r="28" spans="1:33" ht="29.1" x14ac:dyDescent="0.35">
      <c r="A28" s="4"/>
      <c r="B28" s="4" t="s">
        <v>56</v>
      </c>
      <c r="C28" s="4" t="s">
        <v>49</v>
      </c>
      <c r="D28" s="4" t="str">
        <f t="shared" si="3"/>
        <v>ZDS 2.0 (API)</v>
      </c>
      <c r="E28" s="4" t="str">
        <f t="shared" si="1"/>
        <v>API - ZDS 2.0</v>
      </c>
      <c r="F28" s="4" t="s">
        <v>57</v>
      </c>
      <c r="G28" s="4" t="s">
        <v>207</v>
      </c>
      <c r="H28" s="4"/>
      <c r="I28" s="4"/>
      <c r="J28" s="4" t="s">
        <v>208</v>
      </c>
      <c r="K28" s="4"/>
      <c r="L28" s="20"/>
      <c r="M28" s="4"/>
      <c r="N28" s="4">
        <f t="shared" si="2"/>
        <v>0</v>
      </c>
      <c r="O28" s="5"/>
      <c r="P28" s="5"/>
      <c r="Q28" s="5"/>
      <c r="R28" s="5"/>
      <c r="S28" s="5"/>
      <c r="T28" s="5"/>
      <c r="U28" s="5"/>
      <c r="V28" s="5"/>
      <c r="W28" s="5"/>
      <c r="X28" s="5"/>
      <c r="Y28" s="5"/>
      <c r="Z28" s="5"/>
      <c r="AA28" s="5"/>
      <c r="AB28" s="5"/>
      <c r="AC28" s="5"/>
      <c r="AD28" s="5"/>
      <c r="AE28" s="5"/>
      <c r="AF28" s="5"/>
      <c r="AG28" s="5"/>
    </row>
    <row r="29" spans="1:33" ht="45" x14ac:dyDescent="0.25">
      <c r="A29" s="4"/>
      <c r="B29" s="4" t="s">
        <v>91</v>
      </c>
      <c r="C29" s="4" t="s">
        <v>90</v>
      </c>
      <c r="D29" s="4" t="str">
        <f t="shared" si="3"/>
        <v>Marktplaats (Beheeromgeving smart toolbox)</v>
      </c>
      <c r="E29" s="4" t="str">
        <f t="shared" si="1"/>
        <v>Beheeromgeving smart toolbox - Marktplaats</v>
      </c>
      <c r="F29" s="4" t="s">
        <v>355</v>
      </c>
      <c r="G29" s="4" t="s">
        <v>205</v>
      </c>
      <c r="H29" s="4"/>
      <c r="I29" s="4"/>
      <c r="J29" s="4"/>
      <c r="K29" s="4"/>
      <c r="L29" s="20"/>
      <c r="M29" s="4"/>
      <c r="N29" s="4">
        <f t="shared" si="2"/>
        <v>0</v>
      </c>
      <c r="O29" s="5"/>
      <c r="P29" s="5"/>
      <c r="Q29" s="5"/>
      <c r="R29" s="5"/>
      <c r="S29" s="5"/>
      <c r="T29" s="5"/>
      <c r="U29" s="5"/>
      <c r="V29" s="5"/>
      <c r="W29" s="5"/>
      <c r="X29" s="5"/>
      <c r="Y29" s="5"/>
      <c r="Z29" s="5"/>
      <c r="AA29" s="5"/>
      <c r="AB29" s="5"/>
      <c r="AC29" s="5"/>
      <c r="AD29" s="5"/>
      <c r="AE29" s="5"/>
      <c r="AF29" s="5"/>
      <c r="AG29" s="5"/>
    </row>
    <row r="30" spans="1:33" ht="45" x14ac:dyDescent="0.25">
      <c r="A30" s="4"/>
      <c r="B30" s="4" t="s">
        <v>92</v>
      </c>
      <c r="C30" s="4" t="s">
        <v>90</v>
      </c>
      <c r="D30" s="4" t="str">
        <f t="shared" si="3"/>
        <v>Toolkits (Beheeromgeving smart toolbox)</v>
      </c>
      <c r="E30" s="4" t="str">
        <f t="shared" si="1"/>
        <v>Beheeromgeving smart toolbox - Toolkits</v>
      </c>
      <c r="F30" s="4" t="s">
        <v>355</v>
      </c>
      <c r="G30" s="4" t="s">
        <v>205</v>
      </c>
      <c r="H30" s="4"/>
      <c r="I30" s="4"/>
      <c r="J30" s="4"/>
      <c r="K30" s="4"/>
      <c r="L30" s="20"/>
      <c r="M30" s="4"/>
      <c r="N30" s="4">
        <f t="shared" si="2"/>
        <v>0</v>
      </c>
      <c r="O30" s="5"/>
      <c r="P30" s="5"/>
      <c r="Q30" s="5"/>
      <c r="R30" s="5"/>
      <c r="S30" s="5"/>
      <c r="T30" s="5"/>
      <c r="U30" s="5"/>
      <c r="V30" s="5"/>
      <c r="W30" s="5"/>
      <c r="X30" s="5"/>
      <c r="Y30" s="5"/>
      <c r="Z30" s="5"/>
      <c r="AA30" s="5"/>
      <c r="AB30" s="5"/>
      <c r="AC30" s="5"/>
      <c r="AD30" s="5"/>
      <c r="AE30" s="5"/>
      <c r="AF30" s="5"/>
      <c r="AG30" s="5"/>
    </row>
    <row r="31" spans="1:33" ht="43.5" x14ac:dyDescent="0.35">
      <c r="A31" s="4"/>
      <c r="B31" s="4" t="s">
        <v>163</v>
      </c>
      <c r="C31" s="4" t="s">
        <v>12</v>
      </c>
      <c r="D31" s="4" t="str">
        <f t="shared" si="3"/>
        <v>Afhandeling klantvragen (Component)</v>
      </c>
      <c r="E31" s="4" t="str">
        <f t="shared" si="1"/>
        <v>Component - Afhandeling klantvragen</v>
      </c>
      <c r="F31" s="4" t="s">
        <v>336</v>
      </c>
      <c r="G31" s="4" t="s">
        <v>205</v>
      </c>
      <c r="H31" s="4"/>
      <c r="I31" s="4"/>
      <c r="J31" s="4"/>
      <c r="K31" s="4"/>
      <c r="L31" s="20"/>
      <c r="M31" s="4"/>
      <c r="N31" s="4">
        <f t="shared" si="2"/>
        <v>0</v>
      </c>
      <c r="O31" s="5" t="s">
        <v>198</v>
      </c>
      <c r="P31" s="5" t="s">
        <v>198</v>
      </c>
      <c r="Q31" s="5"/>
      <c r="R31" s="5"/>
      <c r="S31" s="5"/>
      <c r="T31" s="5"/>
      <c r="U31" s="5"/>
      <c r="V31" s="5"/>
      <c r="W31" s="5"/>
      <c r="X31" s="5"/>
      <c r="Y31" s="5"/>
      <c r="Z31" s="5"/>
      <c r="AA31" s="5"/>
      <c r="AB31" s="5"/>
      <c r="AC31" s="5"/>
      <c r="AD31" s="5"/>
      <c r="AE31" s="5"/>
      <c r="AF31" s="5"/>
      <c r="AG31" s="5"/>
    </row>
    <row r="32" spans="1:33" ht="87" x14ac:dyDescent="0.35">
      <c r="A32" s="4"/>
      <c r="B32" s="4" t="s">
        <v>219</v>
      </c>
      <c r="C32" s="4" t="s">
        <v>12</v>
      </c>
      <c r="D32" s="4" t="str">
        <f>CONCATENATE(B32," (",C32,")")</f>
        <v>Agenda module (Component)</v>
      </c>
      <c r="E32" s="4" t="str">
        <f t="shared" si="1"/>
        <v>Component - Agenda module</v>
      </c>
      <c r="F32" s="4" t="s">
        <v>337</v>
      </c>
      <c r="G32" s="4" t="s">
        <v>205</v>
      </c>
      <c r="H32" s="4" t="s">
        <v>50</v>
      </c>
      <c r="I32" s="4"/>
      <c r="J32" s="4" t="s">
        <v>209</v>
      </c>
      <c r="K32" s="4" t="s">
        <v>210</v>
      </c>
      <c r="L32" s="20">
        <v>43466</v>
      </c>
      <c r="M32" s="18">
        <v>43556</v>
      </c>
      <c r="N32" s="4">
        <f t="shared" si="2"/>
        <v>90</v>
      </c>
      <c r="O32" s="5" t="s">
        <v>44</v>
      </c>
      <c r="P32" s="5" t="s">
        <v>44</v>
      </c>
      <c r="Q32" s="5"/>
      <c r="R32" s="5"/>
      <c r="S32" s="5"/>
      <c r="T32" s="5"/>
      <c r="U32" s="5"/>
      <c r="V32" s="5"/>
      <c r="W32" s="5"/>
      <c r="X32" s="5"/>
      <c r="Y32" s="5"/>
      <c r="Z32" s="5"/>
      <c r="AA32" s="5"/>
      <c r="AB32" s="5"/>
      <c r="AC32" s="5"/>
      <c r="AD32" s="5"/>
      <c r="AE32" s="5"/>
      <c r="AF32" s="5"/>
      <c r="AG32" s="5"/>
    </row>
    <row r="33" spans="1:33" s="36" customFormat="1" ht="203.1" x14ac:dyDescent="0.35">
      <c r="A33" s="33"/>
      <c r="B33" s="34" t="s">
        <v>140</v>
      </c>
      <c r="C33" s="33" t="s">
        <v>12</v>
      </c>
      <c r="D33" s="4" t="str">
        <f t="shared" ref="D33:D34" si="4">CONCATENATE(B33," (",C33,")")</f>
        <v>App Content Manager (ACM) (Component)</v>
      </c>
      <c r="E33" s="4" t="str">
        <f t="shared" si="1"/>
        <v>Component - App Content Manager (ACM)</v>
      </c>
      <c r="F33" s="34" t="s">
        <v>338</v>
      </c>
      <c r="G33" s="33" t="s">
        <v>205</v>
      </c>
      <c r="H33" s="4"/>
      <c r="I33" s="4"/>
      <c r="J33" s="33"/>
      <c r="K33" s="33"/>
      <c r="L33" s="35"/>
      <c r="M33" s="33"/>
      <c r="N33" s="33">
        <f t="shared" si="2"/>
        <v>0</v>
      </c>
      <c r="O33" s="33"/>
      <c r="P33" s="33"/>
      <c r="Q33" s="33"/>
      <c r="R33" s="33"/>
      <c r="S33" s="33"/>
      <c r="T33" s="33"/>
      <c r="U33" s="33"/>
      <c r="V33" s="33"/>
      <c r="W33" s="33"/>
      <c r="X33" s="33"/>
      <c r="Y33" s="33"/>
      <c r="Z33" s="33"/>
      <c r="AA33" s="33"/>
      <c r="AB33" s="33"/>
      <c r="AC33" s="33"/>
      <c r="AD33" s="33"/>
      <c r="AE33" s="33"/>
      <c r="AF33" s="33"/>
      <c r="AG33" s="33"/>
    </row>
    <row r="34" spans="1:33" ht="29.1" x14ac:dyDescent="0.35">
      <c r="A34" s="4"/>
      <c r="B34" s="4" t="s">
        <v>0</v>
      </c>
      <c r="C34" s="4" t="s">
        <v>12</v>
      </c>
      <c r="D34" s="4" t="str">
        <f t="shared" si="4"/>
        <v>Betaalmodule (Component)</v>
      </c>
      <c r="E34" s="4" t="str">
        <f t="shared" si="1"/>
        <v>Component - Betaalmodule</v>
      </c>
      <c r="F34" s="4" t="s">
        <v>339</v>
      </c>
      <c r="G34" s="4" t="s">
        <v>412</v>
      </c>
      <c r="H34" s="4"/>
      <c r="I34" s="4"/>
      <c r="J34" s="4"/>
      <c r="K34" s="4"/>
      <c r="L34" s="20"/>
      <c r="M34" s="4"/>
      <c r="N34" s="4">
        <f t="shared" si="2"/>
        <v>0</v>
      </c>
      <c r="O34" s="5" t="s">
        <v>44</v>
      </c>
      <c r="P34" s="5"/>
      <c r="Q34" s="5"/>
      <c r="R34" s="5"/>
      <c r="S34" s="5"/>
      <c r="T34" s="5"/>
      <c r="U34" s="5"/>
      <c r="V34" s="5"/>
      <c r="W34" s="5"/>
      <c r="X34" s="5"/>
      <c r="Y34" s="5"/>
      <c r="Z34" s="5"/>
      <c r="AA34" s="5"/>
      <c r="AB34" s="5"/>
      <c r="AC34" s="5"/>
      <c r="AD34" s="5"/>
      <c r="AE34" s="5"/>
      <c r="AF34" s="5"/>
      <c r="AG34" s="5"/>
    </row>
    <row r="35" spans="1:33" ht="43.5" x14ac:dyDescent="0.35">
      <c r="A35" s="4"/>
      <c r="B35" s="9" t="s">
        <v>340</v>
      </c>
      <c r="C35" s="9" t="s">
        <v>12</v>
      </c>
      <c r="D35" s="4" t="str">
        <f>CONCATENATE(B35," (",C35,")")</f>
        <v>Bibliotheek klantvragen (Component)</v>
      </c>
      <c r="E35" s="4" t="str">
        <f t="shared" si="1"/>
        <v>Component - Bibliotheek klantvragen</v>
      </c>
      <c r="F35" s="4" t="s">
        <v>341</v>
      </c>
      <c r="G35" s="4" t="s">
        <v>206</v>
      </c>
      <c r="H35" s="4"/>
      <c r="I35" s="4"/>
      <c r="J35" s="4"/>
      <c r="K35" s="4"/>
      <c r="L35" s="20">
        <v>43525</v>
      </c>
      <c r="M35" s="18">
        <v>43647</v>
      </c>
      <c r="N35" s="4">
        <f t="shared" si="2"/>
        <v>122</v>
      </c>
      <c r="O35" s="5"/>
      <c r="P35" s="5"/>
      <c r="Q35" s="5"/>
      <c r="R35" s="5"/>
      <c r="S35" s="5"/>
      <c r="T35" s="5"/>
      <c r="U35" s="5"/>
      <c r="V35" s="5"/>
      <c r="W35" s="5"/>
      <c r="X35" s="5"/>
      <c r="Y35" s="5"/>
      <c r="Z35" s="5"/>
      <c r="AA35" s="5"/>
      <c r="AB35" s="5"/>
      <c r="AC35" s="5"/>
      <c r="AD35" s="5"/>
      <c r="AE35" s="5"/>
      <c r="AF35" s="5"/>
      <c r="AG35" s="5"/>
    </row>
    <row r="36" spans="1:33" ht="57.95" x14ac:dyDescent="0.35">
      <c r="A36" s="4"/>
      <c r="B36" s="4" t="s">
        <v>143</v>
      </c>
      <c r="C36" s="4" t="s">
        <v>12</v>
      </c>
      <c r="D36" s="4" t="str">
        <f t="shared" ref="D36:D37" si="5">CONCATENATE(B36," (",C36,")")</f>
        <v>Contacten (personen /organisaties) (Component)</v>
      </c>
      <c r="E36" s="4" t="str">
        <f t="shared" si="1"/>
        <v>Component - Contacten (personen /organisaties)</v>
      </c>
      <c r="F36" s="4" t="s">
        <v>342</v>
      </c>
      <c r="G36" s="4" t="s">
        <v>205</v>
      </c>
      <c r="H36" s="4"/>
      <c r="I36" s="4"/>
      <c r="J36" s="4"/>
      <c r="K36" s="4"/>
      <c r="L36" s="20"/>
      <c r="M36" s="4"/>
      <c r="N36" s="4">
        <f t="shared" si="2"/>
        <v>0</v>
      </c>
      <c r="O36" s="5"/>
      <c r="P36" s="5"/>
      <c r="Q36" s="5"/>
      <c r="R36" s="5"/>
      <c r="S36" s="5"/>
      <c r="T36" s="5"/>
      <c r="U36" s="5"/>
      <c r="V36" s="5"/>
      <c r="W36" s="5"/>
      <c r="X36" s="5"/>
      <c r="Y36" s="5"/>
      <c r="Z36" s="5"/>
      <c r="AA36" s="5"/>
      <c r="AB36" s="5"/>
      <c r="AC36" s="5"/>
      <c r="AD36" s="5"/>
      <c r="AE36" s="5"/>
      <c r="AF36" s="5"/>
      <c r="AG36" s="5"/>
    </row>
    <row r="37" spans="1:33" ht="116.1" x14ac:dyDescent="0.35">
      <c r="A37" s="4"/>
      <c r="B37" s="4" t="s">
        <v>48</v>
      </c>
      <c r="C37" s="4" t="s">
        <v>12</v>
      </c>
      <c r="D37" s="4" t="str">
        <f t="shared" si="5"/>
        <v>Filter module (Component)</v>
      </c>
      <c r="E37" s="4" t="str">
        <f t="shared" si="1"/>
        <v>Component - Filter module</v>
      </c>
      <c r="F37" s="9" t="s">
        <v>343</v>
      </c>
      <c r="G37" s="4" t="s">
        <v>205</v>
      </c>
      <c r="H37" s="4"/>
      <c r="I37" s="4"/>
      <c r="J37" s="6"/>
      <c r="K37" s="6"/>
      <c r="L37" s="20"/>
      <c r="M37" s="4"/>
      <c r="N37" s="4">
        <f t="shared" si="2"/>
        <v>0</v>
      </c>
      <c r="O37" s="5" t="s">
        <v>44</v>
      </c>
      <c r="P37" s="5"/>
      <c r="Q37" s="5"/>
      <c r="R37" s="5"/>
      <c r="S37" s="5"/>
      <c r="T37" s="5"/>
      <c r="U37" s="5"/>
      <c r="V37" s="5"/>
      <c r="W37" s="5"/>
      <c r="X37" s="5"/>
      <c r="Y37" s="5"/>
      <c r="Z37" s="5"/>
      <c r="AA37" s="5"/>
      <c r="AB37" s="5"/>
      <c r="AC37" s="5"/>
      <c r="AD37" s="5"/>
      <c r="AE37" s="5"/>
      <c r="AF37" s="5"/>
      <c r="AG37" s="5"/>
    </row>
    <row r="38" spans="1:33" s="15" customFormat="1" ht="43.5" x14ac:dyDescent="0.35">
      <c r="A38" s="38"/>
      <c r="B38" s="38" t="s">
        <v>367</v>
      </c>
      <c r="C38" s="38" t="s">
        <v>12</v>
      </c>
      <c r="D38" s="38" t="str">
        <f t="shared" ref="D38:D49" si="6">CONCATENATE(B38," (",C38,")")</f>
        <v>Autorisatie component (Component)</v>
      </c>
      <c r="E38" s="4" t="str">
        <f t="shared" si="1"/>
        <v>Component - Autorisatie component</v>
      </c>
      <c r="F38" s="10" t="s">
        <v>344</v>
      </c>
      <c r="G38" s="10" t="s">
        <v>205</v>
      </c>
      <c r="H38" s="38"/>
      <c r="I38" s="38"/>
      <c r="J38" s="38" t="s">
        <v>209</v>
      </c>
      <c r="K38" s="38" t="s">
        <v>210</v>
      </c>
      <c r="L38" s="39">
        <v>43525</v>
      </c>
      <c r="M38" s="40">
        <v>43617</v>
      </c>
      <c r="N38" s="38">
        <f t="shared" si="2"/>
        <v>92</v>
      </c>
      <c r="O38" s="38" t="s">
        <v>198</v>
      </c>
      <c r="P38" s="38"/>
      <c r="Q38" s="38"/>
      <c r="R38" s="38"/>
      <c r="S38" s="38"/>
      <c r="T38" s="38"/>
      <c r="U38" s="38"/>
      <c r="V38" s="38"/>
      <c r="W38" s="38"/>
      <c r="X38" s="38"/>
      <c r="Y38" s="38"/>
      <c r="Z38" s="38"/>
      <c r="AA38" s="38"/>
      <c r="AB38" s="38"/>
      <c r="AC38" s="38"/>
      <c r="AD38" s="38"/>
      <c r="AE38" s="38"/>
      <c r="AF38" s="38"/>
      <c r="AG38" s="38"/>
    </row>
    <row r="39" spans="1:33" s="36" customFormat="1" ht="315" x14ac:dyDescent="0.25">
      <c r="A39" s="33"/>
      <c r="B39" s="33" t="s">
        <v>1</v>
      </c>
      <c r="C39" s="33" t="s">
        <v>12</v>
      </c>
      <c r="D39" s="4" t="str">
        <f t="shared" si="6"/>
        <v>Inlogmodule (Component)</v>
      </c>
      <c r="E39" s="4" t="str">
        <f t="shared" si="1"/>
        <v>Component - Inlogmodule</v>
      </c>
      <c r="F39" s="33" t="s">
        <v>96</v>
      </c>
      <c r="G39" s="34" t="s">
        <v>412</v>
      </c>
      <c r="H39" s="4"/>
      <c r="I39" s="4"/>
      <c r="J39" s="33" t="s">
        <v>209</v>
      </c>
      <c r="K39" s="33" t="s">
        <v>210</v>
      </c>
      <c r="L39" s="35">
        <v>43525</v>
      </c>
      <c r="M39" s="37">
        <v>43647</v>
      </c>
      <c r="N39" s="33">
        <f t="shared" si="2"/>
        <v>122</v>
      </c>
      <c r="O39" s="33" t="s">
        <v>44</v>
      </c>
      <c r="P39" s="33"/>
      <c r="Q39" s="33"/>
      <c r="R39" s="33"/>
      <c r="S39" s="33"/>
      <c r="T39" s="33"/>
      <c r="U39" s="33"/>
      <c r="V39" s="33"/>
      <c r="W39" s="33"/>
      <c r="X39" s="33"/>
      <c r="Y39" s="33"/>
      <c r="Z39" s="33"/>
      <c r="AA39" s="33"/>
      <c r="AB39" s="33"/>
      <c r="AC39" s="33"/>
      <c r="AD39" s="33"/>
      <c r="AE39" s="33"/>
      <c r="AF39" s="33"/>
      <c r="AG39" s="33"/>
    </row>
    <row r="40" spans="1:33" ht="240" x14ac:dyDescent="0.25">
      <c r="A40" s="4"/>
      <c r="B40" s="4" t="s">
        <v>42</v>
      </c>
      <c r="C40" s="4" t="s">
        <v>12</v>
      </c>
      <c r="D40" s="4" t="str">
        <f t="shared" si="6"/>
        <v>Klantvraageditor (Component)</v>
      </c>
      <c r="E40" s="4" t="str">
        <f t="shared" si="1"/>
        <v>Component - Klantvraageditor</v>
      </c>
      <c r="F40" s="9" t="s">
        <v>60</v>
      </c>
      <c r="G40" s="9" t="s">
        <v>206</v>
      </c>
      <c r="H40" s="4"/>
      <c r="I40" s="4"/>
      <c r="J40" s="4" t="s">
        <v>209</v>
      </c>
      <c r="K40" s="4" t="s">
        <v>210</v>
      </c>
      <c r="L40" s="20">
        <v>43525</v>
      </c>
      <c r="M40" s="18">
        <v>43647</v>
      </c>
      <c r="N40" s="4">
        <f t="shared" si="2"/>
        <v>122</v>
      </c>
      <c r="O40" s="5" t="s">
        <v>44</v>
      </c>
      <c r="P40" s="5" t="s">
        <v>44</v>
      </c>
      <c r="Q40" s="5"/>
      <c r="R40" s="5"/>
      <c r="S40" s="5"/>
      <c r="T40" s="5"/>
      <c r="U40" s="5"/>
      <c r="V40" s="5"/>
      <c r="W40" s="5"/>
      <c r="X40" s="5"/>
      <c r="Y40" s="5"/>
      <c r="Z40" s="5"/>
      <c r="AA40" s="5"/>
      <c r="AB40" s="5"/>
      <c r="AC40" s="5"/>
      <c r="AD40" s="5"/>
      <c r="AE40" s="5"/>
      <c r="AF40" s="5"/>
      <c r="AG40" s="5"/>
    </row>
    <row r="41" spans="1:33" ht="60" x14ac:dyDescent="0.25">
      <c r="A41" s="4"/>
      <c r="B41" s="10" t="s">
        <v>2</v>
      </c>
      <c r="C41" s="9" t="s">
        <v>12</v>
      </c>
      <c r="D41" s="4" t="str">
        <f t="shared" si="6"/>
        <v>Locatiemodule (Component)</v>
      </c>
      <c r="E41" s="4" t="str">
        <f t="shared" si="1"/>
        <v>Component - Locatiemodule</v>
      </c>
      <c r="F41" s="4" t="s">
        <v>144</v>
      </c>
      <c r="G41" s="4" t="s">
        <v>205</v>
      </c>
      <c r="H41" s="4" t="s">
        <v>145</v>
      </c>
      <c r="I41" s="4" t="s">
        <v>145</v>
      </c>
      <c r="J41" s="4"/>
      <c r="K41" s="4"/>
      <c r="L41" s="20"/>
      <c r="M41" s="4"/>
      <c r="N41" s="4">
        <f t="shared" si="2"/>
        <v>0</v>
      </c>
      <c r="O41" s="5"/>
      <c r="P41" s="5" t="s">
        <v>44</v>
      </c>
      <c r="Q41" s="5"/>
      <c r="R41" s="5"/>
      <c r="S41" s="5"/>
      <c r="T41" s="5"/>
      <c r="U41" s="5"/>
      <c r="V41" s="5"/>
      <c r="W41" s="5"/>
      <c r="X41" s="5"/>
      <c r="Y41" s="5"/>
      <c r="Z41" s="5"/>
      <c r="AA41" s="5"/>
      <c r="AB41" s="5"/>
      <c r="AC41" s="5"/>
      <c r="AD41" s="5"/>
      <c r="AE41" s="5"/>
      <c r="AF41" s="5"/>
      <c r="AG41" s="5"/>
    </row>
    <row r="42" spans="1:33" ht="45" x14ac:dyDescent="0.25">
      <c r="A42" s="4"/>
      <c r="B42" s="4" t="s">
        <v>146</v>
      </c>
      <c r="C42" s="4" t="s">
        <v>12</v>
      </c>
      <c r="D42" s="4" t="str">
        <f t="shared" si="6"/>
        <v>Machtigingenmodule (Component)</v>
      </c>
      <c r="E42" s="4" t="str">
        <f t="shared" si="1"/>
        <v>Component - Machtigingenmodule</v>
      </c>
      <c r="F42" s="4" t="s">
        <v>162</v>
      </c>
      <c r="G42" s="4" t="s">
        <v>205</v>
      </c>
      <c r="H42" s="4"/>
      <c r="I42" s="4"/>
      <c r="J42" s="4"/>
      <c r="K42" s="4"/>
      <c r="L42" s="20"/>
      <c r="M42" s="4"/>
      <c r="N42" s="4">
        <f t="shared" si="2"/>
        <v>0</v>
      </c>
      <c r="O42" s="5"/>
      <c r="P42" s="5"/>
      <c r="Q42" s="5"/>
      <c r="R42" s="5"/>
      <c r="S42" s="5"/>
      <c r="T42" s="5"/>
      <c r="U42" s="5"/>
      <c r="V42" s="5"/>
      <c r="W42" s="5"/>
      <c r="X42" s="5"/>
      <c r="Y42" s="5"/>
      <c r="Z42" s="5"/>
      <c r="AA42" s="5"/>
      <c r="AB42" s="5"/>
      <c r="AC42" s="5"/>
      <c r="AD42" s="5"/>
      <c r="AE42" s="5"/>
      <c r="AF42" s="5"/>
      <c r="AG42" s="5"/>
    </row>
    <row r="43" spans="1:33" ht="75" x14ac:dyDescent="0.25">
      <c r="A43" s="4"/>
      <c r="B43" s="4" t="s">
        <v>116</v>
      </c>
      <c r="C43" s="4" t="s">
        <v>12</v>
      </c>
      <c r="D43" s="4" t="str">
        <f t="shared" si="6"/>
        <v>MijnContracten (Component)</v>
      </c>
      <c r="E43" s="4" t="str">
        <f t="shared" si="1"/>
        <v>Component - MijnContracten</v>
      </c>
      <c r="F43" s="4" t="s">
        <v>147</v>
      </c>
      <c r="G43" s="4" t="s">
        <v>206</v>
      </c>
      <c r="H43" s="4"/>
      <c r="I43" s="4"/>
      <c r="J43" s="4" t="s">
        <v>209</v>
      </c>
      <c r="K43" s="4" t="s">
        <v>211</v>
      </c>
      <c r="L43" s="20"/>
      <c r="M43" s="4"/>
      <c r="N43" s="4">
        <f t="shared" si="2"/>
        <v>0</v>
      </c>
      <c r="O43" s="5" t="s">
        <v>44</v>
      </c>
      <c r="P43" s="5" t="s">
        <v>44</v>
      </c>
      <c r="Q43" s="5"/>
      <c r="R43" s="5"/>
      <c r="S43" s="5"/>
      <c r="T43" s="5"/>
      <c r="U43" s="5"/>
      <c r="V43" s="5"/>
      <c r="W43" s="5"/>
      <c r="X43" s="5"/>
      <c r="Y43" s="5"/>
      <c r="Z43" s="5"/>
      <c r="AA43" s="5"/>
      <c r="AB43" s="5"/>
      <c r="AC43" s="5"/>
      <c r="AD43" s="5"/>
      <c r="AE43" s="5"/>
      <c r="AF43" s="5"/>
      <c r="AG43" s="5"/>
    </row>
    <row r="44" spans="1:33" ht="60" x14ac:dyDescent="0.25">
      <c r="A44" s="4"/>
      <c r="B44" s="4" t="s">
        <v>4</v>
      </c>
      <c r="C44" s="4" t="s">
        <v>12</v>
      </c>
      <c r="D44" s="4" t="str">
        <f t="shared" si="6"/>
        <v>Notificatiemodule (Component)</v>
      </c>
      <c r="E44" s="4" t="str">
        <f t="shared" si="1"/>
        <v>Component - Notificatiemodule</v>
      </c>
      <c r="F44" s="4" t="s">
        <v>148</v>
      </c>
      <c r="G44" s="4" t="s">
        <v>205</v>
      </c>
      <c r="H44" s="4"/>
      <c r="I44" s="4"/>
      <c r="J44" s="4"/>
      <c r="K44" s="4"/>
      <c r="L44" s="20"/>
      <c r="M44" s="4"/>
      <c r="N44" s="4">
        <f t="shared" si="2"/>
        <v>0</v>
      </c>
      <c r="O44" s="5" t="s">
        <v>44</v>
      </c>
      <c r="P44" s="5" t="s">
        <v>44</v>
      </c>
      <c r="Q44" s="5"/>
      <c r="R44" s="5"/>
      <c r="S44" s="5"/>
      <c r="T44" s="5"/>
      <c r="U44" s="5"/>
      <c r="V44" s="5"/>
      <c r="W44" s="5"/>
      <c r="X44" s="5"/>
      <c r="Y44" s="5"/>
      <c r="Z44" s="5"/>
      <c r="AA44" s="5"/>
      <c r="AB44" s="5"/>
      <c r="AC44" s="5"/>
      <c r="AD44" s="5"/>
      <c r="AE44" s="5"/>
      <c r="AF44" s="5"/>
      <c r="AG44" s="5"/>
    </row>
    <row r="45" spans="1:33" ht="150" x14ac:dyDescent="0.25">
      <c r="A45" s="4"/>
      <c r="B45" s="9" t="s">
        <v>52</v>
      </c>
      <c r="C45" s="4" t="s">
        <v>12</v>
      </c>
      <c r="D45" s="4" t="str">
        <f t="shared" si="6"/>
        <v>Onderteken module (Component)</v>
      </c>
      <c r="E45" s="4" t="str">
        <f t="shared" si="1"/>
        <v>Component - Onderteken module</v>
      </c>
      <c r="F45" s="9" t="s">
        <v>149</v>
      </c>
      <c r="G45" s="9" t="s">
        <v>205</v>
      </c>
      <c r="H45" s="4"/>
      <c r="I45" s="4"/>
      <c r="J45" s="4"/>
      <c r="K45" s="4"/>
      <c r="L45" s="20"/>
      <c r="M45" s="4"/>
      <c r="N45" s="4">
        <f t="shared" si="2"/>
        <v>0</v>
      </c>
      <c r="O45" s="5"/>
      <c r="P45" s="5"/>
      <c r="Q45" s="5"/>
      <c r="R45" s="5"/>
      <c r="S45" s="5"/>
      <c r="T45" s="5"/>
      <c r="U45" s="5"/>
      <c r="V45" s="5"/>
      <c r="W45" s="5"/>
      <c r="X45" s="5"/>
      <c r="Y45" s="5"/>
      <c r="Z45" s="5"/>
      <c r="AA45" s="5"/>
      <c r="AB45" s="5"/>
      <c r="AC45" s="5"/>
      <c r="AD45" s="5"/>
      <c r="AE45" s="5"/>
      <c r="AF45" s="5"/>
      <c r="AG45" s="5"/>
    </row>
    <row r="46" spans="1:33" ht="60" x14ac:dyDescent="0.25">
      <c r="A46" s="4"/>
      <c r="B46" s="4" t="s">
        <v>47</v>
      </c>
      <c r="C46" s="4" t="s">
        <v>12</v>
      </c>
      <c r="D46" s="4" t="str">
        <f t="shared" si="6"/>
        <v>Order module (Component)</v>
      </c>
      <c r="E46" s="4" t="str">
        <f t="shared" si="1"/>
        <v>Component - Order module</v>
      </c>
      <c r="F46" s="9" t="s">
        <v>150</v>
      </c>
      <c r="G46" s="9" t="s">
        <v>412</v>
      </c>
      <c r="H46" s="4"/>
      <c r="I46" s="4"/>
      <c r="J46" s="4"/>
      <c r="K46" s="4"/>
      <c r="L46" s="20"/>
      <c r="M46" s="4"/>
      <c r="N46" s="4">
        <f t="shared" si="2"/>
        <v>0</v>
      </c>
      <c r="O46" s="5" t="s">
        <v>44</v>
      </c>
      <c r="P46" s="5" t="s">
        <v>44</v>
      </c>
      <c r="Q46" s="5"/>
      <c r="R46" s="5"/>
      <c r="S46" s="5"/>
      <c r="T46" s="5"/>
      <c r="U46" s="5"/>
      <c r="V46" s="5"/>
      <c r="W46" s="5"/>
      <c r="X46" s="5"/>
      <c r="Y46" s="5"/>
      <c r="Z46" s="5"/>
      <c r="AA46" s="5"/>
      <c r="AB46" s="5"/>
      <c r="AC46" s="5"/>
      <c r="AD46" s="5"/>
      <c r="AE46" s="5"/>
      <c r="AF46" s="5"/>
      <c r="AG46" s="5"/>
    </row>
    <row r="47" spans="1:33" s="15" customFormat="1" ht="30" x14ac:dyDescent="0.25">
      <c r="A47" s="38"/>
      <c r="B47" s="10" t="s">
        <v>346</v>
      </c>
      <c r="C47" s="38" t="s">
        <v>12</v>
      </c>
      <c r="D47" s="38" t="str">
        <f t="shared" si="6"/>
        <v>Gegevens delen (Component)</v>
      </c>
      <c r="E47" s="4" t="str">
        <f t="shared" si="1"/>
        <v>Component - Gegevens delen</v>
      </c>
      <c r="F47" s="38" t="s">
        <v>347</v>
      </c>
      <c r="G47" s="38" t="s">
        <v>205</v>
      </c>
      <c r="H47" s="38"/>
      <c r="I47" s="38"/>
      <c r="J47" s="38"/>
      <c r="K47" s="38"/>
      <c r="L47" s="39"/>
      <c r="M47" s="38"/>
      <c r="N47" s="38">
        <f t="shared" si="2"/>
        <v>0</v>
      </c>
      <c r="O47" s="38"/>
      <c r="P47" s="38" t="s">
        <v>44</v>
      </c>
      <c r="Q47" s="38"/>
      <c r="R47" s="38"/>
      <c r="S47" s="38"/>
      <c r="T47" s="38"/>
      <c r="U47" s="38"/>
      <c r="V47" s="38"/>
      <c r="W47" s="38"/>
      <c r="X47" s="38"/>
      <c r="Y47" s="38"/>
      <c r="Z47" s="38"/>
      <c r="AA47" s="38"/>
      <c r="AB47" s="38"/>
      <c r="AC47" s="38"/>
      <c r="AD47" s="38"/>
      <c r="AE47" s="38"/>
      <c r="AF47" s="38"/>
      <c r="AG47" s="38"/>
    </row>
    <row r="48" spans="1:33" s="15" customFormat="1" ht="75" x14ac:dyDescent="0.25">
      <c r="A48" s="38"/>
      <c r="B48" s="38" t="s">
        <v>348</v>
      </c>
      <c r="C48" s="38" t="s">
        <v>12</v>
      </c>
      <c r="D48" s="38" t="str">
        <f t="shared" si="6"/>
        <v>Delen klantvraag (Component)</v>
      </c>
      <c r="E48" s="4" t="str">
        <f t="shared" si="1"/>
        <v>Component - Delen klantvraag</v>
      </c>
      <c r="F48" s="38" t="s">
        <v>349</v>
      </c>
      <c r="G48" s="38" t="s">
        <v>205</v>
      </c>
      <c r="H48" s="38"/>
      <c r="I48" s="38"/>
      <c r="J48" s="38"/>
      <c r="K48" s="38"/>
      <c r="L48" s="39"/>
      <c r="M48" s="38"/>
      <c r="N48" s="38">
        <f t="shared" si="2"/>
        <v>0</v>
      </c>
      <c r="O48" s="38" t="s">
        <v>198</v>
      </c>
      <c r="P48" s="38" t="s">
        <v>198</v>
      </c>
      <c r="Q48" s="38"/>
      <c r="R48" s="38"/>
      <c r="S48" s="38"/>
      <c r="T48" s="38"/>
      <c r="U48" s="38"/>
      <c r="V48" s="38"/>
      <c r="W48" s="38"/>
      <c r="X48" s="38"/>
      <c r="Y48" s="38"/>
      <c r="Z48" s="38"/>
      <c r="AA48" s="38"/>
      <c r="AB48" s="38"/>
      <c r="AC48" s="38"/>
      <c r="AD48" s="38"/>
      <c r="AE48" s="38"/>
      <c r="AF48" s="38"/>
      <c r="AG48" s="38"/>
    </row>
    <row r="49" spans="1:33" ht="30" x14ac:dyDescent="0.25">
      <c r="A49" s="4"/>
      <c r="B49" s="4" t="s">
        <v>3</v>
      </c>
      <c r="C49" s="4" t="s">
        <v>12</v>
      </c>
      <c r="D49" s="4" t="str">
        <f t="shared" si="6"/>
        <v>Upload module (Component)</v>
      </c>
      <c r="E49" s="4" t="str">
        <f t="shared" si="1"/>
        <v>Component - Upload module</v>
      </c>
      <c r="F49" s="4" t="s">
        <v>350</v>
      </c>
      <c r="G49" s="4" t="s">
        <v>412</v>
      </c>
      <c r="H49" s="4"/>
      <c r="I49" s="4"/>
      <c r="J49" s="4"/>
      <c r="K49" s="4"/>
      <c r="L49" s="20"/>
      <c r="M49" s="4"/>
      <c r="N49" s="4">
        <f t="shared" si="2"/>
        <v>0</v>
      </c>
      <c r="O49" s="5"/>
      <c r="P49" s="5"/>
      <c r="Q49" s="5"/>
      <c r="R49" s="5"/>
      <c r="S49" s="5"/>
      <c r="T49" s="5"/>
      <c r="U49" s="5"/>
      <c r="V49" s="5"/>
      <c r="W49" s="5"/>
      <c r="X49" s="5"/>
      <c r="Y49" s="5"/>
      <c r="Z49" s="5"/>
      <c r="AA49" s="5"/>
      <c r="AB49" s="5"/>
      <c r="AC49" s="5"/>
      <c r="AD49" s="5"/>
      <c r="AE49" s="5"/>
      <c r="AF49" s="5"/>
      <c r="AG49" s="5"/>
    </row>
    <row r="50" spans="1:33" ht="45" x14ac:dyDescent="0.25">
      <c r="A50" s="4"/>
      <c r="B50" s="4" t="s">
        <v>8</v>
      </c>
      <c r="C50" s="4" t="s">
        <v>12</v>
      </c>
      <c r="D50" s="4" t="str">
        <f>CONCATENATE(B50," (",C50,")")</f>
        <v>Winkelwagen (Component)</v>
      </c>
      <c r="E50" s="4" t="str">
        <f t="shared" si="1"/>
        <v>Component - Winkelwagen</v>
      </c>
      <c r="F50" s="4" t="s">
        <v>165</v>
      </c>
      <c r="G50" s="4" t="s">
        <v>412</v>
      </c>
      <c r="H50" s="4"/>
      <c r="I50" s="4"/>
      <c r="J50" s="4" t="s">
        <v>209</v>
      </c>
      <c r="K50" s="4" t="s">
        <v>210</v>
      </c>
      <c r="L50" s="20">
        <v>43525</v>
      </c>
      <c r="M50" s="18">
        <v>43647</v>
      </c>
      <c r="N50" s="4">
        <f t="shared" si="2"/>
        <v>122</v>
      </c>
      <c r="O50" s="5" t="s">
        <v>44</v>
      </c>
      <c r="P50" s="5"/>
      <c r="Q50" s="5"/>
      <c r="R50" s="5"/>
      <c r="S50" s="5"/>
      <c r="T50" s="5"/>
      <c r="U50" s="5"/>
      <c r="V50" s="5"/>
      <c r="W50" s="5"/>
      <c r="X50" s="5"/>
      <c r="Y50" s="5"/>
      <c r="Z50" s="5"/>
      <c r="AA50" s="5"/>
      <c r="AB50" s="5"/>
      <c r="AC50" s="5"/>
      <c r="AD50" s="5"/>
      <c r="AE50" s="5"/>
      <c r="AF50" s="5"/>
      <c r="AG50" s="5"/>
    </row>
    <row r="51" spans="1:33" ht="120" x14ac:dyDescent="0.25">
      <c r="A51" s="4"/>
      <c r="B51" s="4" t="s">
        <v>351</v>
      </c>
      <c r="C51" s="4" t="s">
        <v>12</v>
      </c>
      <c r="D51" s="4" t="str">
        <f t="shared" ref="D51:D67" si="7">CONCATENATE(B51," (",C51,")")</f>
        <v>Zoek (vind) module (Component)</v>
      </c>
      <c r="E51" s="4" t="str">
        <f t="shared" si="1"/>
        <v>Component - Zoek (vind) module</v>
      </c>
      <c r="F51" s="4" t="s">
        <v>352</v>
      </c>
      <c r="G51" s="4" t="s">
        <v>205</v>
      </c>
      <c r="H51" s="4" t="s">
        <v>46</v>
      </c>
      <c r="I51" s="4"/>
      <c r="J51" s="4"/>
      <c r="K51" s="4"/>
      <c r="L51" s="20"/>
      <c r="M51" s="4"/>
      <c r="N51" s="4">
        <f t="shared" si="2"/>
        <v>0</v>
      </c>
      <c r="O51" s="5"/>
      <c r="P51" s="5"/>
      <c r="Q51" s="5"/>
      <c r="R51" s="5"/>
      <c r="S51" s="5"/>
      <c r="T51" s="5"/>
      <c r="U51" s="5"/>
      <c r="V51" s="5"/>
      <c r="W51" s="5"/>
      <c r="X51" s="5"/>
      <c r="Y51" s="5"/>
      <c r="Z51" s="5"/>
      <c r="AA51" s="5"/>
      <c r="AB51" s="5"/>
      <c r="AC51" s="5"/>
      <c r="AD51" s="5"/>
      <c r="AE51" s="5"/>
      <c r="AF51" s="5"/>
      <c r="AG51" s="5"/>
    </row>
    <row r="52" spans="1:33" x14ac:dyDescent="0.25">
      <c r="A52" s="4"/>
      <c r="B52" s="4" t="s">
        <v>23</v>
      </c>
      <c r="C52" s="4" t="s">
        <v>15</v>
      </c>
      <c r="D52" s="4" t="str">
        <f t="shared" si="7"/>
        <v>BAG (Data)</v>
      </c>
      <c r="E52" s="4" t="str">
        <f t="shared" si="1"/>
        <v>Data - BAG</v>
      </c>
      <c r="F52" s="4" t="s">
        <v>120</v>
      </c>
      <c r="G52" s="4" t="s">
        <v>207</v>
      </c>
      <c r="H52" s="4"/>
      <c r="I52" s="4"/>
      <c r="J52" s="4"/>
      <c r="K52" s="4"/>
      <c r="L52" s="20"/>
      <c r="M52" s="4"/>
      <c r="N52" s="4">
        <f t="shared" si="2"/>
        <v>0</v>
      </c>
      <c r="O52" s="5"/>
      <c r="P52" s="5"/>
      <c r="Q52" s="5"/>
      <c r="R52" s="5"/>
      <c r="S52" s="5"/>
      <c r="T52" s="5"/>
      <c r="U52" s="5"/>
      <c r="V52" s="5"/>
      <c r="W52" s="5"/>
      <c r="X52" s="5"/>
      <c r="Y52" s="5"/>
      <c r="Z52" s="5"/>
      <c r="AA52" s="5"/>
      <c r="AB52" s="5"/>
      <c r="AC52" s="5"/>
      <c r="AD52" s="5"/>
      <c r="AE52" s="5"/>
      <c r="AF52" s="5"/>
      <c r="AG52" s="5"/>
    </row>
    <row r="53" spans="1:33" ht="45" x14ac:dyDescent="0.25">
      <c r="A53" s="4"/>
      <c r="B53" s="9" t="s">
        <v>83</v>
      </c>
      <c r="C53" s="9" t="s">
        <v>15</v>
      </c>
      <c r="D53" s="4" t="str">
        <f t="shared" si="7"/>
        <v>Besluiten (beschikkingen) (Data)</v>
      </c>
      <c r="E53" s="4" t="str">
        <f t="shared" si="1"/>
        <v>Data - Besluiten (beschikkingen)</v>
      </c>
      <c r="F53" s="4" t="s">
        <v>151</v>
      </c>
      <c r="G53" s="4" t="s">
        <v>205</v>
      </c>
      <c r="H53" s="4"/>
      <c r="I53" s="4"/>
      <c r="J53" s="4"/>
      <c r="K53" s="4"/>
      <c r="L53" s="20"/>
      <c r="M53" s="4"/>
      <c r="N53" s="4">
        <f t="shared" si="2"/>
        <v>0</v>
      </c>
      <c r="O53" s="5"/>
      <c r="P53" s="5"/>
      <c r="Q53" s="5"/>
      <c r="R53" s="5"/>
      <c r="S53" s="5"/>
      <c r="T53" s="5"/>
      <c r="U53" s="5"/>
      <c r="V53" s="5"/>
      <c r="W53" s="5"/>
      <c r="X53" s="5"/>
      <c r="Y53" s="5"/>
      <c r="Z53" s="5"/>
      <c r="AA53" s="5"/>
      <c r="AB53" s="5"/>
      <c r="AC53" s="5"/>
      <c r="AD53" s="5"/>
      <c r="AE53" s="5"/>
      <c r="AF53" s="5"/>
      <c r="AG53" s="5"/>
    </row>
    <row r="54" spans="1:33" x14ac:dyDescent="0.25">
      <c r="A54" s="4"/>
      <c r="B54" s="9" t="s">
        <v>78</v>
      </c>
      <c r="C54" s="9" t="s">
        <v>15</v>
      </c>
      <c r="D54" s="4" t="str">
        <f t="shared" si="7"/>
        <v>BGT (Data)</v>
      </c>
      <c r="E54" s="4" t="str">
        <f t="shared" si="1"/>
        <v>Data - BGT</v>
      </c>
      <c r="F54" s="4" t="s">
        <v>125</v>
      </c>
      <c r="G54" s="4" t="s">
        <v>207</v>
      </c>
      <c r="H54" s="4"/>
      <c r="I54" s="4"/>
      <c r="J54" s="4"/>
      <c r="K54" s="4"/>
      <c r="L54" s="20"/>
      <c r="M54" s="4"/>
      <c r="N54" s="4">
        <f t="shared" si="2"/>
        <v>0</v>
      </c>
      <c r="O54" s="5"/>
      <c r="P54" s="5"/>
      <c r="Q54" s="5"/>
      <c r="R54" s="5"/>
      <c r="S54" s="5"/>
      <c r="T54" s="5"/>
      <c r="U54" s="5"/>
      <c r="V54" s="5"/>
      <c r="W54" s="5"/>
      <c r="X54" s="5"/>
      <c r="Y54" s="5"/>
      <c r="Z54" s="5"/>
      <c r="AA54" s="5"/>
      <c r="AB54" s="5"/>
      <c r="AC54" s="5"/>
      <c r="AD54" s="5"/>
      <c r="AE54" s="5"/>
      <c r="AF54" s="5"/>
      <c r="AG54" s="5"/>
    </row>
    <row r="55" spans="1:33" x14ac:dyDescent="0.25">
      <c r="A55" s="4"/>
      <c r="B55" s="4" t="s">
        <v>22</v>
      </c>
      <c r="C55" s="4" t="s">
        <v>15</v>
      </c>
      <c r="D55" s="4" t="str">
        <f t="shared" si="7"/>
        <v>BRI (Data)</v>
      </c>
      <c r="E55" s="4" t="str">
        <f t="shared" si="1"/>
        <v>Data - BRI</v>
      </c>
      <c r="F55" s="4" t="s">
        <v>127</v>
      </c>
      <c r="G55" s="4" t="s">
        <v>207</v>
      </c>
      <c r="H55" s="4"/>
      <c r="I55" s="4"/>
      <c r="J55" s="4"/>
      <c r="K55" s="4"/>
      <c r="L55" s="20"/>
      <c r="M55" s="4"/>
      <c r="N55" s="4">
        <f t="shared" si="2"/>
        <v>0</v>
      </c>
      <c r="O55" s="5"/>
      <c r="P55" s="5"/>
      <c r="Q55" s="5"/>
      <c r="R55" s="5"/>
      <c r="S55" s="5"/>
      <c r="T55" s="5"/>
      <c r="U55" s="5"/>
      <c r="V55" s="5"/>
      <c r="W55" s="5"/>
      <c r="X55" s="5"/>
      <c r="Y55" s="5"/>
      <c r="Z55" s="5"/>
      <c r="AA55" s="5"/>
      <c r="AB55" s="5"/>
      <c r="AC55" s="5"/>
      <c r="AD55" s="5"/>
      <c r="AE55" s="5"/>
      <c r="AF55" s="5"/>
      <c r="AG55" s="5"/>
    </row>
    <row r="56" spans="1:33" x14ac:dyDescent="0.25">
      <c r="A56" s="4"/>
      <c r="B56" s="9" t="s">
        <v>76</v>
      </c>
      <c r="C56" s="9" t="s">
        <v>15</v>
      </c>
      <c r="D56" s="4" t="str">
        <f t="shared" si="7"/>
        <v>BRK (Data)</v>
      </c>
      <c r="E56" s="4" t="str">
        <f t="shared" si="1"/>
        <v>Data - BRK</v>
      </c>
      <c r="F56" s="4" t="s">
        <v>122</v>
      </c>
      <c r="G56" s="4" t="s">
        <v>207</v>
      </c>
      <c r="H56" s="4"/>
      <c r="I56" s="4"/>
      <c r="J56" s="4"/>
      <c r="K56" s="4"/>
      <c r="L56" s="20"/>
      <c r="M56" s="4"/>
      <c r="N56" s="4">
        <f t="shared" si="2"/>
        <v>0</v>
      </c>
      <c r="O56" s="5"/>
      <c r="P56" s="5" t="s">
        <v>198</v>
      </c>
      <c r="Q56" s="5"/>
      <c r="R56" s="5"/>
      <c r="S56" s="5"/>
      <c r="T56" s="5"/>
      <c r="U56" s="5"/>
      <c r="V56" s="5"/>
      <c r="W56" s="5"/>
      <c r="X56" s="5"/>
      <c r="Y56" s="5"/>
      <c r="Z56" s="5"/>
      <c r="AA56" s="5"/>
      <c r="AB56" s="5"/>
      <c r="AC56" s="5"/>
      <c r="AD56" s="5"/>
      <c r="AE56" s="5"/>
      <c r="AF56" s="5"/>
      <c r="AG56" s="5"/>
    </row>
    <row r="57" spans="1:33" x14ac:dyDescent="0.25">
      <c r="A57" s="4"/>
      <c r="B57" s="4" t="s">
        <v>21</v>
      </c>
      <c r="C57" s="4" t="s">
        <v>15</v>
      </c>
      <c r="D57" s="4" t="str">
        <f t="shared" si="7"/>
        <v>BRP (Data)</v>
      </c>
      <c r="E57" s="4" t="str">
        <f t="shared" si="1"/>
        <v>Data - BRP</v>
      </c>
      <c r="F57" s="4" t="s">
        <v>124</v>
      </c>
      <c r="G57" s="4" t="s">
        <v>205</v>
      </c>
      <c r="H57" s="4"/>
      <c r="I57" s="4"/>
      <c r="J57" s="4"/>
      <c r="K57" s="4"/>
      <c r="L57" s="20"/>
      <c r="M57" s="4"/>
      <c r="N57" s="4">
        <f t="shared" si="2"/>
        <v>0</v>
      </c>
      <c r="O57" s="5" t="s">
        <v>198</v>
      </c>
      <c r="P57" s="5" t="s">
        <v>198</v>
      </c>
      <c r="Q57" s="5"/>
      <c r="R57" s="5"/>
      <c r="S57" s="5"/>
      <c r="T57" s="5"/>
      <c r="U57" s="5"/>
      <c r="V57" s="5"/>
      <c r="W57" s="5"/>
      <c r="X57" s="5"/>
      <c r="Y57" s="5"/>
      <c r="Z57" s="5"/>
      <c r="AA57" s="5"/>
      <c r="AB57" s="5"/>
      <c r="AC57" s="5"/>
      <c r="AD57" s="5"/>
      <c r="AE57" s="5"/>
      <c r="AF57" s="5"/>
      <c r="AG57" s="5"/>
    </row>
    <row r="58" spans="1:33" x14ac:dyDescent="0.25">
      <c r="A58" s="4"/>
      <c r="B58" s="9" t="s">
        <v>77</v>
      </c>
      <c r="C58" s="9" t="s">
        <v>15</v>
      </c>
      <c r="D58" s="4" t="str">
        <f t="shared" si="7"/>
        <v>BRT (Data)</v>
      </c>
      <c r="E58" s="4" t="str">
        <f t="shared" si="1"/>
        <v>Data - BRT</v>
      </c>
      <c r="F58" s="4" t="s">
        <v>123</v>
      </c>
      <c r="G58" s="4" t="s">
        <v>207</v>
      </c>
      <c r="H58" s="4"/>
      <c r="I58" s="4"/>
      <c r="J58" s="4"/>
      <c r="K58" s="4"/>
      <c r="L58" s="20"/>
      <c r="M58" s="4"/>
      <c r="N58" s="4">
        <f t="shared" si="2"/>
        <v>0</v>
      </c>
      <c r="O58" s="5"/>
      <c r="P58" s="5"/>
      <c r="Q58" s="5"/>
      <c r="R58" s="5"/>
      <c r="S58" s="5"/>
      <c r="T58" s="5"/>
      <c r="U58" s="5"/>
      <c r="V58" s="5"/>
      <c r="W58" s="5"/>
      <c r="X58" s="5"/>
      <c r="Y58" s="5"/>
      <c r="Z58" s="5"/>
      <c r="AA58" s="5"/>
      <c r="AB58" s="5"/>
      <c r="AC58" s="5"/>
      <c r="AD58" s="5"/>
      <c r="AE58" s="5"/>
      <c r="AF58" s="5"/>
      <c r="AG58" s="5"/>
    </row>
    <row r="59" spans="1:33" x14ac:dyDescent="0.25">
      <c r="A59" s="4"/>
      <c r="B59" s="9" t="s">
        <v>79</v>
      </c>
      <c r="C59" s="9" t="s">
        <v>15</v>
      </c>
      <c r="D59" s="4" t="str">
        <f t="shared" si="7"/>
        <v>BRV (Data)</v>
      </c>
      <c r="E59" s="4" t="str">
        <f t="shared" si="1"/>
        <v>Data - BRV</v>
      </c>
      <c r="F59" s="4" t="s">
        <v>126</v>
      </c>
      <c r="G59" s="4" t="s">
        <v>207</v>
      </c>
      <c r="H59" s="4"/>
      <c r="I59" s="4"/>
      <c r="J59" s="4"/>
      <c r="K59" s="4"/>
      <c r="L59" s="20"/>
      <c r="M59" s="4"/>
      <c r="N59" s="4">
        <f t="shared" si="2"/>
        <v>0</v>
      </c>
      <c r="O59" s="5"/>
      <c r="P59" s="5"/>
      <c r="Q59" s="5"/>
      <c r="R59" s="5"/>
      <c r="S59" s="5"/>
      <c r="T59" s="5"/>
      <c r="U59" s="5"/>
      <c r="V59" s="5"/>
      <c r="W59" s="5"/>
      <c r="X59" s="5"/>
      <c r="Y59" s="5"/>
      <c r="Z59" s="5"/>
      <c r="AA59" s="5"/>
      <c r="AB59" s="5"/>
      <c r="AC59" s="5"/>
      <c r="AD59" s="5"/>
      <c r="AE59" s="5"/>
      <c r="AF59" s="5"/>
      <c r="AG59" s="5"/>
    </row>
    <row r="60" spans="1:33" ht="150" x14ac:dyDescent="0.25">
      <c r="A60" s="4"/>
      <c r="B60" s="9" t="s">
        <v>152</v>
      </c>
      <c r="C60" s="9" t="s">
        <v>15</v>
      </c>
      <c r="D60" s="4" t="str">
        <f t="shared" si="7"/>
        <v>Business rules (Data)</v>
      </c>
      <c r="E60" s="4" t="str">
        <f t="shared" si="1"/>
        <v>Data - Business rules</v>
      </c>
      <c r="F60" s="4" t="s">
        <v>357</v>
      </c>
      <c r="G60" s="4" t="s">
        <v>205</v>
      </c>
      <c r="H60" s="4"/>
      <c r="I60" s="4"/>
      <c r="J60" s="4"/>
      <c r="K60" s="4"/>
      <c r="L60" s="20"/>
      <c r="M60" s="4"/>
      <c r="N60" s="4">
        <f t="shared" si="2"/>
        <v>0</v>
      </c>
      <c r="O60" s="5"/>
      <c r="P60" s="5"/>
      <c r="Q60" s="5"/>
      <c r="R60" s="5"/>
      <c r="S60" s="5"/>
      <c r="T60" s="5"/>
      <c r="U60" s="5"/>
      <c r="V60" s="5"/>
      <c r="W60" s="5"/>
      <c r="X60" s="5"/>
      <c r="Y60" s="5"/>
      <c r="Z60" s="5"/>
      <c r="AA60" s="5"/>
      <c r="AB60" s="5"/>
      <c r="AC60" s="5"/>
      <c r="AD60" s="5"/>
      <c r="AE60" s="5"/>
      <c r="AF60" s="5"/>
      <c r="AG60" s="5"/>
    </row>
    <row r="61" spans="1:33" s="15" customFormat="1" ht="60" x14ac:dyDescent="0.25">
      <c r="A61" s="38"/>
      <c r="B61" s="10" t="s">
        <v>358</v>
      </c>
      <c r="C61" s="10" t="s">
        <v>15</v>
      </c>
      <c r="D61" s="38" t="str">
        <f t="shared" si="7"/>
        <v>Zaak Documenten (Data)</v>
      </c>
      <c r="E61" s="4" t="str">
        <f t="shared" si="1"/>
        <v>Data - Zaak Documenten</v>
      </c>
      <c r="F61" s="38" t="s">
        <v>359</v>
      </c>
      <c r="G61" s="38" t="s">
        <v>205</v>
      </c>
      <c r="H61" s="38"/>
      <c r="I61" s="38"/>
      <c r="J61" s="38"/>
      <c r="K61" s="38"/>
      <c r="L61" s="39"/>
      <c r="M61" s="38"/>
      <c r="N61" s="38">
        <f t="shared" si="2"/>
        <v>0</v>
      </c>
      <c r="O61" s="38"/>
      <c r="P61" s="38"/>
      <c r="Q61" s="38"/>
      <c r="R61" s="38"/>
      <c r="S61" s="38"/>
      <c r="T61" s="38"/>
      <c r="U61" s="38"/>
      <c r="V61" s="38"/>
      <c r="W61" s="38"/>
      <c r="X61" s="38"/>
      <c r="Y61" s="38"/>
      <c r="Z61" s="38"/>
      <c r="AA61" s="38"/>
      <c r="AB61" s="38"/>
      <c r="AC61" s="38"/>
      <c r="AD61" s="38"/>
      <c r="AE61" s="38"/>
      <c r="AF61" s="38"/>
      <c r="AG61" s="38"/>
    </row>
    <row r="62" spans="1:33" x14ac:dyDescent="0.25">
      <c r="A62" s="4"/>
      <c r="B62" s="9" t="s">
        <v>74</v>
      </c>
      <c r="C62" s="9" t="s">
        <v>15</v>
      </c>
      <c r="D62" s="4" t="str">
        <f t="shared" si="7"/>
        <v>GBA (lokaal) (Data)</v>
      </c>
      <c r="E62" s="4" t="str">
        <f t="shared" si="1"/>
        <v>Data - GBA (lokaal)</v>
      </c>
      <c r="F62" s="4" t="s">
        <v>153</v>
      </c>
      <c r="G62" s="4" t="s">
        <v>207</v>
      </c>
      <c r="H62" s="4"/>
      <c r="I62" s="4"/>
      <c r="J62" s="4"/>
      <c r="K62" s="4"/>
      <c r="L62" s="20"/>
      <c r="M62" s="4"/>
      <c r="N62" s="4">
        <f t="shared" si="2"/>
        <v>0</v>
      </c>
      <c r="O62" s="5" t="s">
        <v>44</v>
      </c>
      <c r="P62" s="5" t="s">
        <v>44</v>
      </c>
      <c r="Q62" s="5"/>
      <c r="R62" s="5"/>
      <c r="S62" s="5"/>
      <c r="T62" s="5"/>
      <c r="U62" s="5"/>
      <c r="V62" s="5"/>
      <c r="W62" s="5"/>
      <c r="X62" s="5"/>
      <c r="Y62" s="5"/>
      <c r="Z62" s="5"/>
      <c r="AA62" s="5"/>
      <c r="AB62" s="5"/>
      <c r="AC62" s="5"/>
      <c r="AD62" s="5"/>
      <c r="AE62" s="5"/>
      <c r="AF62" s="5"/>
      <c r="AG62" s="5"/>
    </row>
    <row r="63" spans="1:33" ht="30" x14ac:dyDescent="0.25">
      <c r="A63" s="4"/>
      <c r="B63" s="4" t="s">
        <v>58</v>
      </c>
      <c r="C63" s="4" t="s">
        <v>15</v>
      </c>
      <c r="D63" s="4" t="str">
        <f t="shared" si="7"/>
        <v>Machtigingen (Data)</v>
      </c>
      <c r="E63" s="4" t="str">
        <f t="shared" si="1"/>
        <v>Data - Machtigingen</v>
      </c>
      <c r="F63" s="4" t="s">
        <v>59</v>
      </c>
      <c r="G63" s="4" t="s">
        <v>205</v>
      </c>
      <c r="H63" s="4"/>
      <c r="I63" s="4"/>
      <c r="J63" s="4"/>
      <c r="K63" s="4"/>
      <c r="L63" s="20"/>
      <c r="M63" s="4"/>
      <c r="N63" s="4">
        <f t="shared" si="2"/>
        <v>0</v>
      </c>
      <c r="O63" s="5"/>
      <c r="P63" s="5"/>
      <c r="Q63" s="5"/>
      <c r="R63" s="5"/>
      <c r="S63" s="5"/>
      <c r="T63" s="5"/>
      <c r="U63" s="5"/>
      <c r="V63" s="5"/>
      <c r="W63" s="5"/>
      <c r="X63" s="5"/>
      <c r="Y63" s="5"/>
      <c r="Z63" s="5"/>
      <c r="AA63" s="5"/>
      <c r="AB63" s="5"/>
      <c r="AC63" s="5"/>
      <c r="AD63" s="5"/>
      <c r="AE63" s="5"/>
      <c r="AF63" s="5"/>
      <c r="AG63" s="5"/>
    </row>
    <row r="64" spans="1:33" x14ac:dyDescent="0.25">
      <c r="A64" s="4"/>
      <c r="B64" s="9" t="s">
        <v>75</v>
      </c>
      <c r="C64" s="9" t="s">
        <v>15</v>
      </c>
      <c r="D64" s="4" t="str">
        <f t="shared" si="7"/>
        <v>NHR (Data)</v>
      </c>
      <c r="E64" s="4" t="str">
        <f t="shared" si="1"/>
        <v>Data - NHR</v>
      </c>
      <c r="F64" s="4" t="s">
        <v>121</v>
      </c>
      <c r="G64" s="4" t="s">
        <v>205</v>
      </c>
      <c r="H64" s="4"/>
      <c r="I64" s="4"/>
      <c r="J64" s="4"/>
      <c r="K64" s="4"/>
      <c r="L64" s="20"/>
      <c r="M64" s="4"/>
      <c r="N64" s="4">
        <f t="shared" si="2"/>
        <v>0</v>
      </c>
      <c r="O64" s="5"/>
      <c r="P64" s="5"/>
      <c r="Q64" s="5"/>
      <c r="R64" s="5"/>
      <c r="S64" s="5"/>
      <c r="T64" s="5"/>
      <c r="U64" s="5"/>
      <c r="V64" s="5"/>
      <c r="W64" s="5"/>
      <c r="X64" s="5"/>
      <c r="Y64" s="5"/>
      <c r="Z64" s="5"/>
      <c r="AA64" s="5"/>
      <c r="AB64" s="5"/>
      <c r="AC64" s="5"/>
      <c r="AD64" s="5"/>
      <c r="AE64" s="5"/>
      <c r="AF64" s="5"/>
      <c r="AG64" s="5"/>
    </row>
    <row r="65" spans="1:33" s="15" customFormat="1" ht="45" x14ac:dyDescent="0.25">
      <c r="A65" s="38"/>
      <c r="B65" s="10" t="s">
        <v>368</v>
      </c>
      <c r="C65" s="10" t="s">
        <v>15</v>
      </c>
      <c r="D65" s="38" t="str">
        <f t="shared" si="7"/>
        <v>Voorraad prducten en diensten (Data)</v>
      </c>
      <c r="E65" s="4" t="str">
        <f t="shared" si="1"/>
        <v>Data - Voorraad prducten en diensten</v>
      </c>
      <c r="F65" s="38" t="s">
        <v>363</v>
      </c>
      <c r="G65" s="38" t="s">
        <v>205</v>
      </c>
      <c r="H65" s="38"/>
      <c r="I65" s="38"/>
      <c r="J65" s="38"/>
      <c r="K65" s="38"/>
      <c r="L65" s="39"/>
      <c r="M65" s="38"/>
      <c r="N65" s="38"/>
      <c r="O65" s="38"/>
      <c r="P65" s="38"/>
      <c r="Q65" s="38"/>
      <c r="R65" s="38"/>
      <c r="S65" s="38"/>
      <c r="T65" s="38"/>
      <c r="U65" s="38"/>
      <c r="V65" s="38"/>
      <c r="W65" s="38"/>
      <c r="X65" s="38"/>
      <c r="Y65" s="38"/>
      <c r="Z65" s="38"/>
      <c r="AA65" s="38"/>
      <c r="AB65" s="38"/>
      <c r="AC65" s="38"/>
      <c r="AD65" s="38"/>
      <c r="AE65" s="38"/>
      <c r="AF65" s="38"/>
      <c r="AG65" s="38"/>
    </row>
    <row r="66" spans="1:33" s="15" customFormat="1" ht="45" x14ac:dyDescent="0.25">
      <c r="A66" s="38"/>
      <c r="B66" s="10" t="s">
        <v>361</v>
      </c>
      <c r="C66" s="10" t="s">
        <v>12</v>
      </c>
      <c r="D66" s="38" t="str">
        <f t="shared" si="7"/>
        <v>Voorraad beheermodule (Component)</v>
      </c>
      <c r="E66" s="4" t="str">
        <f t="shared" si="1"/>
        <v>Component - Voorraad beheermodule</v>
      </c>
      <c r="F66" s="38" t="s">
        <v>362</v>
      </c>
      <c r="G66" s="38" t="s">
        <v>205</v>
      </c>
      <c r="H66" s="38"/>
      <c r="I66" s="38"/>
      <c r="J66" s="38"/>
      <c r="K66" s="38"/>
      <c r="L66" s="39"/>
      <c r="M66" s="38"/>
      <c r="N66" s="38"/>
      <c r="O66" s="38"/>
      <c r="P66" s="38"/>
      <c r="Q66" s="38"/>
      <c r="R66" s="38"/>
      <c r="S66" s="38"/>
      <c r="T66" s="38"/>
      <c r="U66" s="38"/>
      <c r="V66" s="38"/>
      <c r="W66" s="38"/>
      <c r="X66" s="38"/>
      <c r="Y66" s="38"/>
      <c r="Z66" s="38"/>
      <c r="AA66" s="38"/>
      <c r="AB66" s="38"/>
      <c r="AC66" s="38"/>
      <c r="AD66" s="38"/>
      <c r="AE66" s="38"/>
      <c r="AF66" s="38"/>
      <c r="AG66" s="38"/>
    </row>
    <row r="67" spans="1:33" ht="90" x14ac:dyDescent="0.25">
      <c r="A67" s="4"/>
      <c r="B67" s="4" t="s">
        <v>141</v>
      </c>
      <c r="C67" s="4" t="s">
        <v>15</v>
      </c>
      <c r="D67" s="4" t="str">
        <f t="shared" si="7"/>
        <v>PDC (Product- en dienstencatalogus) (Data)</v>
      </c>
      <c r="E67" s="4" t="str">
        <f t="shared" ref="E67:E132" si="8">CONCATENATE(C67," - ",B67,)</f>
        <v>Data - PDC (Product- en dienstencatalogus)</v>
      </c>
      <c r="F67" s="4" t="s">
        <v>360</v>
      </c>
      <c r="G67" s="4" t="s">
        <v>205</v>
      </c>
      <c r="H67" s="4"/>
      <c r="I67" s="4"/>
      <c r="J67" s="4"/>
      <c r="K67" s="4"/>
      <c r="L67" s="20"/>
      <c r="M67" s="4"/>
      <c r="N67" s="4">
        <f t="shared" si="2"/>
        <v>0</v>
      </c>
      <c r="O67" s="5" t="s">
        <v>44</v>
      </c>
      <c r="P67" s="5"/>
      <c r="Q67" s="5"/>
      <c r="R67" s="5"/>
      <c r="S67" s="5"/>
      <c r="T67" s="5"/>
      <c r="U67" s="5"/>
      <c r="V67" s="5"/>
      <c r="W67" s="5"/>
      <c r="X67" s="5"/>
      <c r="Y67" s="5"/>
      <c r="Z67" s="5"/>
      <c r="AA67" s="5"/>
      <c r="AB67" s="5"/>
      <c r="AC67" s="5"/>
      <c r="AD67" s="5"/>
      <c r="AE67" s="5"/>
      <c r="AF67" s="5"/>
      <c r="AG67" s="5"/>
    </row>
    <row r="68" spans="1:33" ht="60" x14ac:dyDescent="0.25">
      <c r="A68" s="4"/>
      <c r="B68" s="4" t="s">
        <v>25</v>
      </c>
      <c r="C68" s="4" t="s">
        <v>15</v>
      </c>
      <c r="D68" s="4" t="str">
        <f t="shared" ref="D68:D89" si="9">CONCATENATE(B68," (",C68,")")</f>
        <v>Registratie Babsen (Data)</v>
      </c>
      <c r="E68" s="4" t="str">
        <f t="shared" si="8"/>
        <v>Data - Registratie Babsen</v>
      </c>
      <c r="F68" s="4" t="s">
        <v>154</v>
      </c>
      <c r="G68" s="4" t="s">
        <v>206</v>
      </c>
      <c r="H68" s="4"/>
      <c r="I68" s="4"/>
      <c r="J68" s="4" t="s">
        <v>209</v>
      </c>
      <c r="K68" s="6" t="s">
        <v>212</v>
      </c>
      <c r="L68" s="20">
        <v>43525</v>
      </c>
      <c r="M68" s="18">
        <v>43647</v>
      </c>
      <c r="N68" s="4">
        <f t="shared" ref="N68:N122" si="10">M68-L68</f>
        <v>122</v>
      </c>
      <c r="O68" s="5" t="s">
        <v>44</v>
      </c>
      <c r="P68" s="5"/>
      <c r="Q68" s="5"/>
      <c r="R68" s="5"/>
      <c r="S68" s="5"/>
      <c r="T68" s="5"/>
      <c r="U68" s="5"/>
      <c r="V68" s="5"/>
      <c r="W68" s="5"/>
      <c r="X68" s="5"/>
      <c r="Y68" s="5"/>
      <c r="Z68" s="5"/>
      <c r="AA68" s="5"/>
      <c r="AB68" s="5"/>
      <c r="AC68" s="5"/>
      <c r="AD68" s="5"/>
      <c r="AE68" s="5"/>
      <c r="AF68" s="5"/>
      <c r="AG68" s="5"/>
    </row>
    <row r="69" spans="1:33" ht="45" x14ac:dyDescent="0.25">
      <c r="A69" s="4"/>
      <c r="B69" s="4" t="s">
        <v>26</v>
      </c>
      <c r="C69" s="4" t="s">
        <v>15</v>
      </c>
      <c r="D69" s="4" t="str">
        <f t="shared" si="9"/>
        <v>Registratie trouwlocaties (Data)</v>
      </c>
      <c r="E69" s="4" t="str">
        <f t="shared" si="8"/>
        <v>Data - Registratie trouwlocaties</v>
      </c>
      <c r="F69" s="4" t="s">
        <v>155</v>
      </c>
      <c r="G69" s="6" t="s">
        <v>206</v>
      </c>
      <c r="H69" s="6"/>
      <c r="I69" s="6"/>
      <c r="J69" s="6" t="s">
        <v>209</v>
      </c>
      <c r="K69" s="6" t="s">
        <v>212</v>
      </c>
      <c r="L69" s="20">
        <v>43525</v>
      </c>
      <c r="M69" s="18">
        <v>43647</v>
      </c>
      <c r="N69" s="4">
        <f t="shared" si="10"/>
        <v>122</v>
      </c>
      <c r="O69" s="5" t="s">
        <v>44</v>
      </c>
      <c r="P69" s="5"/>
      <c r="Q69" s="5"/>
      <c r="R69" s="5"/>
      <c r="S69" s="5"/>
      <c r="T69" s="5"/>
      <c r="U69" s="5"/>
      <c r="V69" s="5"/>
      <c r="W69" s="5"/>
      <c r="X69" s="5"/>
      <c r="Y69" s="5"/>
      <c r="Z69" s="5"/>
      <c r="AA69" s="5"/>
      <c r="AB69" s="5"/>
      <c r="AC69" s="5"/>
      <c r="AD69" s="5"/>
      <c r="AE69" s="5"/>
      <c r="AF69" s="5"/>
      <c r="AG69" s="5"/>
    </row>
    <row r="70" spans="1:33" x14ac:dyDescent="0.25">
      <c r="A70" s="4"/>
      <c r="B70" s="9" t="s">
        <v>80</v>
      </c>
      <c r="C70" s="9" t="s">
        <v>15</v>
      </c>
      <c r="D70" s="4" t="str">
        <f t="shared" si="9"/>
        <v>WOZ (Data)</v>
      </c>
      <c r="E70" s="4" t="str">
        <f t="shared" si="8"/>
        <v>Data - WOZ</v>
      </c>
      <c r="F70" s="4" t="s">
        <v>166</v>
      </c>
      <c r="G70" s="4" t="s">
        <v>207</v>
      </c>
      <c r="H70" s="4"/>
      <c r="I70" s="4"/>
      <c r="J70" s="4"/>
      <c r="K70" s="4"/>
      <c r="L70" s="20"/>
      <c r="M70" s="4"/>
      <c r="N70" s="4">
        <f t="shared" si="10"/>
        <v>0</v>
      </c>
      <c r="O70" s="5"/>
      <c r="P70" s="5"/>
      <c r="Q70" s="5"/>
      <c r="R70" s="5"/>
      <c r="S70" s="5"/>
      <c r="T70" s="5"/>
      <c r="U70" s="5"/>
      <c r="V70" s="5"/>
      <c r="W70" s="5"/>
      <c r="X70" s="5"/>
      <c r="Y70" s="5"/>
      <c r="Z70" s="5"/>
      <c r="AA70" s="5"/>
      <c r="AB70" s="5"/>
      <c r="AC70" s="5"/>
      <c r="AD70" s="5"/>
      <c r="AE70" s="5"/>
      <c r="AF70" s="5"/>
      <c r="AG70" s="5"/>
    </row>
    <row r="71" spans="1:33" ht="135" x14ac:dyDescent="0.25">
      <c r="A71" s="4"/>
      <c r="B71" s="9" t="s">
        <v>82</v>
      </c>
      <c r="C71" s="9" t="s">
        <v>15</v>
      </c>
      <c r="D71" s="4" t="str">
        <f t="shared" si="9"/>
        <v>Zaaktypen (Data)</v>
      </c>
      <c r="E71" s="4" t="str">
        <f t="shared" si="8"/>
        <v>Data - Zaaktypen</v>
      </c>
      <c r="F71" s="4" t="s">
        <v>167</v>
      </c>
      <c r="G71" s="4" t="s">
        <v>207</v>
      </c>
      <c r="H71" s="4"/>
      <c r="I71" s="4"/>
      <c r="J71" s="4"/>
      <c r="K71" s="4"/>
      <c r="L71" s="20"/>
      <c r="M71" s="4"/>
      <c r="N71" s="4">
        <f t="shared" si="10"/>
        <v>0</v>
      </c>
      <c r="O71" s="5"/>
      <c r="P71" s="5"/>
      <c r="Q71" s="5"/>
      <c r="R71" s="5"/>
      <c r="S71" s="5"/>
      <c r="T71" s="5"/>
      <c r="U71" s="5"/>
      <c r="V71" s="5"/>
      <c r="W71" s="5"/>
      <c r="X71" s="5"/>
      <c r="Y71" s="5"/>
      <c r="Z71" s="5"/>
      <c r="AA71" s="5"/>
      <c r="AB71" s="5"/>
      <c r="AC71" s="5"/>
      <c r="AD71" s="5"/>
      <c r="AE71" s="5"/>
      <c r="AF71" s="5"/>
      <c r="AG71" s="5"/>
    </row>
    <row r="72" spans="1:33" ht="165" x14ac:dyDescent="0.25">
      <c r="A72" s="4"/>
      <c r="B72" s="9" t="s">
        <v>81</v>
      </c>
      <c r="C72" s="9" t="s">
        <v>15</v>
      </c>
      <c r="D72" s="4" t="str">
        <f t="shared" si="9"/>
        <v>Zaken (Data)</v>
      </c>
      <c r="E72" s="4" t="str">
        <f t="shared" si="8"/>
        <v>Data - Zaken</v>
      </c>
      <c r="F72" s="4" t="s">
        <v>168</v>
      </c>
      <c r="G72" s="4" t="s">
        <v>207</v>
      </c>
      <c r="H72" s="4"/>
      <c r="I72" s="4"/>
      <c r="J72" s="4"/>
      <c r="K72" s="4"/>
      <c r="L72" s="20"/>
      <c r="M72" s="4"/>
      <c r="N72" s="4">
        <f t="shared" si="10"/>
        <v>0</v>
      </c>
      <c r="O72" s="5"/>
      <c r="P72" s="5"/>
      <c r="Q72" s="5"/>
      <c r="R72" s="5"/>
      <c r="S72" s="5"/>
      <c r="T72" s="5"/>
      <c r="U72" s="5"/>
      <c r="V72" s="5"/>
      <c r="W72" s="5"/>
      <c r="X72" s="5"/>
      <c r="Y72" s="5"/>
      <c r="Z72" s="5"/>
      <c r="AA72" s="5"/>
      <c r="AB72" s="5"/>
      <c r="AC72" s="5"/>
      <c r="AD72" s="5"/>
      <c r="AE72" s="5"/>
      <c r="AF72" s="5"/>
      <c r="AG72" s="5"/>
    </row>
    <row r="73" spans="1:33" x14ac:dyDescent="0.25">
      <c r="A73" s="4"/>
      <c r="B73" s="9" t="s">
        <v>369</v>
      </c>
      <c r="C73" s="9" t="s">
        <v>12</v>
      </c>
      <c r="D73" s="4" t="str">
        <f t="shared" si="9"/>
        <v>Chat (Component)</v>
      </c>
      <c r="E73" s="4" t="str">
        <f t="shared" si="8"/>
        <v>Component - Chat</v>
      </c>
      <c r="F73" s="4"/>
      <c r="G73" s="4" t="s">
        <v>206</v>
      </c>
      <c r="H73" s="4"/>
      <c r="I73" s="4"/>
      <c r="J73" s="4"/>
      <c r="K73" s="4"/>
      <c r="L73" s="20"/>
      <c r="M73" s="4"/>
      <c r="N73" s="4"/>
      <c r="O73" s="5"/>
      <c r="P73" s="5"/>
      <c r="Q73" s="5"/>
      <c r="R73" s="5"/>
      <c r="S73" s="5"/>
      <c r="T73" s="5"/>
      <c r="U73" s="5"/>
      <c r="V73" s="5"/>
      <c r="W73" s="5"/>
      <c r="X73" s="5"/>
      <c r="Y73" s="5"/>
      <c r="Z73" s="5"/>
      <c r="AA73" s="5"/>
      <c r="AB73" s="5"/>
      <c r="AC73" s="5"/>
      <c r="AD73" s="5"/>
      <c r="AE73" s="5"/>
      <c r="AF73" s="5"/>
      <c r="AG73" s="5"/>
    </row>
    <row r="74" spans="1:33" ht="90" x14ac:dyDescent="0.25">
      <c r="A74" s="4"/>
      <c r="B74" s="4" t="s">
        <v>66</v>
      </c>
      <c r="C74" s="4" t="s">
        <v>13</v>
      </c>
      <c r="D74" s="4" t="str">
        <f t="shared" si="9"/>
        <v>Chatbot (Platform engine)</v>
      </c>
      <c r="E74" s="4" t="str">
        <f t="shared" si="8"/>
        <v>Platform engine - Chatbot</v>
      </c>
      <c r="F74" s="4" t="s">
        <v>95</v>
      </c>
      <c r="G74" s="4" t="s">
        <v>205</v>
      </c>
      <c r="H74" s="4"/>
      <c r="I74" s="4"/>
      <c r="J74" s="4"/>
      <c r="K74" s="4"/>
      <c r="L74" s="20"/>
      <c r="M74" s="4"/>
      <c r="N74" s="4">
        <f t="shared" si="10"/>
        <v>0</v>
      </c>
      <c r="O74" s="5"/>
      <c r="P74" s="5"/>
      <c r="Q74" s="5"/>
      <c r="R74" s="5"/>
      <c r="S74" s="5"/>
      <c r="T74" s="5"/>
      <c r="U74" s="5"/>
      <c r="V74" s="5"/>
      <c r="W74" s="5"/>
      <c r="X74" s="5"/>
      <c r="Y74" s="5"/>
      <c r="Z74" s="5"/>
      <c r="AA74" s="5"/>
      <c r="AB74" s="5"/>
      <c r="AC74" s="5"/>
      <c r="AD74" s="5"/>
      <c r="AE74" s="5"/>
      <c r="AF74" s="5"/>
      <c r="AG74" s="5"/>
    </row>
    <row r="75" spans="1:33" ht="30" x14ac:dyDescent="0.25">
      <c r="A75" s="4"/>
      <c r="B75" s="4" t="s">
        <v>117</v>
      </c>
      <c r="C75" s="4" t="s">
        <v>13</v>
      </c>
      <c r="D75" s="4" t="str">
        <f t="shared" si="9"/>
        <v>Personalisatie (Platform engine)</v>
      </c>
      <c r="E75" s="4" t="str">
        <f t="shared" si="8"/>
        <v>Platform engine - Personalisatie</v>
      </c>
      <c r="F75" s="4" t="s">
        <v>169</v>
      </c>
      <c r="G75" s="4" t="s">
        <v>205</v>
      </c>
      <c r="H75" s="4"/>
      <c r="I75" s="4"/>
      <c r="J75" s="4"/>
      <c r="K75" s="4"/>
      <c r="L75" s="20"/>
      <c r="M75" s="4"/>
      <c r="N75" s="4">
        <f t="shared" si="10"/>
        <v>0</v>
      </c>
      <c r="O75" s="5"/>
      <c r="P75" s="5"/>
      <c r="Q75" s="5"/>
      <c r="R75" s="5"/>
      <c r="S75" s="5"/>
      <c r="T75" s="5"/>
      <c r="U75" s="5"/>
      <c r="V75" s="5"/>
      <c r="W75" s="5"/>
      <c r="X75" s="5"/>
      <c r="Y75" s="5"/>
      <c r="Z75" s="5"/>
      <c r="AA75" s="5"/>
      <c r="AB75" s="5"/>
      <c r="AC75" s="5"/>
      <c r="AD75" s="5"/>
      <c r="AE75" s="5"/>
      <c r="AF75" s="5"/>
      <c r="AG75" s="5"/>
    </row>
    <row r="76" spans="1:33" ht="30" x14ac:dyDescent="0.25">
      <c r="A76" s="4"/>
      <c r="B76" s="4" t="s">
        <v>353</v>
      </c>
      <c r="C76" s="4" t="s">
        <v>12</v>
      </c>
      <c r="D76" s="4" t="str">
        <f t="shared" si="9"/>
        <v>AR/VR (Component)</v>
      </c>
      <c r="E76" s="4" t="str">
        <f t="shared" si="8"/>
        <v>Component - AR/VR</v>
      </c>
      <c r="F76" s="11" t="s">
        <v>170</v>
      </c>
      <c r="G76" s="4" t="s">
        <v>205</v>
      </c>
      <c r="H76" s="4"/>
      <c r="I76" s="4"/>
      <c r="J76" s="4"/>
      <c r="K76" s="4"/>
      <c r="L76" s="20"/>
      <c r="M76" s="4"/>
      <c r="N76" s="4">
        <f t="shared" si="10"/>
        <v>0</v>
      </c>
      <c r="O76" s="5"/>
      <c r="P76" s="5"/>
      <c r="Q76" s="5"/>
      <c r="R76" s="5"/>
      <c r="S76" s="5"/>
      <c r="T76" s="5"/>
      <c r="U76" s="5"/>
      <c r="V76" s="5"/>
      <c r="W76" s="5"/>
      <c r="X76" s="5"/>
      <c r="Y76" s="5"/>
      <c r="Z76" s="5"/>
      <c r="AA76" s="5"/>
      <c r="AB76" s="5"/>
      <c r="AC76" s="5"/>
      <c r="AD76" s="5"/>
      <c r="AE76" s="5"/>
      <c r="AF76" s="5"/>
      <c r="AG76" s="5"/>
    </row>
    <row r="77" spans="1:33" ht="30" x14ac:dyDescent="0.25">
      <c r="A77" s="4"/>
      <c r="B77" s="4" t="s">
        <v>66</v>
      </c>
      <c r="C77" s="4" t="s">
        <v>12</v>
      </c>
      <c r="D77" s="4" t="str">
        <f t="shared" si="9"/>
        <v>Chatbot (Component)</v>
      </c>
      <c r="E77" s="4" t="str">
        <f t="shared" si="8"/>
        <v>Component - Chatbot</v>
      </c>
      <c r="F77" s="4" t="s">
        <v>171</v>
      </c>
      <c r="G77" s="4" t="s">
        <v>205</v>
      </c>
      <c r="H77" s="4"/>
      <c r="I77" s="4"/>
      <c r="J77" s="4"/>
      <c r="K77" s="4"/>
      <c r="L77" s="20"/>
      <c r="M77" s="4"/>
      <c r="N77" s="4">
        <f t="shared" si="10"/>
        <v>0</v>
      </c>
      <c r="O77" s="5"/>
      <c r="P77" s="5"/>
      <c r="Q77" s="5"/>
      <c r="R77" s="5"/>
      <c r="S77" s="5"/>
      <c r="T77" s="5"/>
      <c r="U77" s="5"/>
      <c r="V77" s="5"/>
      <c r="W77" s="5"/>
      <c r="X77" s="5"/>
      <c r="Y77" s="5"/>
      <c r="Z77" s="5"/>
      <c r="AA77" s="5"/>
      <c r="AB77" s="5"/>
      <c r="AC77" s="5"/>
      <c r="AD77" s="5"/>
      <c r="AE77" s="5"/>
      <c r="AF77" s="5"/>
      <c r="AG77" s="5"/>
    </row>
    <row r="78" spans="1:33" ht="45" x14ac:dyDescent="0.25">
      <c r="A78" s="4"/>
      <c r="B78" s="4" t="s">
        <v>117</v>
      </c>
      <c r="C78" s="4" t="s">
        <v>12</v>
      </c>
      <c r="D78" s="4" t="str">
        <f t="shared" si="9"/>
        <v>Personalisatie (Component)</v>
      </c>
      <c r="E78" s="4" t="str">
        <f t="shared" si="8"/>
        <v>Component - Personalisatie</v>
      </c>
      <c r="F78" s="4" t="s">
        <v>354</v>
      </c>
      <c r="G78" s="4" t="s">
        <v>205</v>
      </c>
      <c r="H78" s="4"/>
      <c r="I78" s="4"/>
      <c r="J78" s="4"/>
      <c r="K78" s="4"/>
      <c r="L78" s="20"/>
      <c r="M78" s="4"/>
      <c r="N78" s="4">
        <f t="shared" si="10"/>
        <v>0</v>
      </c>
      <c r="O78" s="5"/>
      <c r="P78" s="5"/>
      <c r="Q78" s="5"/>
      <c r="R78" s="5"/>
      <c r="S78" s="5"/>
      <c r="T78" s="5"/>
      <c r="U78" s="5"/>
      <c r="V78" s="5"/>
      <c r="W78" s="5"/>
      <c r="X78" s="5"/>
      <c r="Y78" s="5"/>
      <c r="Z78" s="5"/>
      <c r="AA78" s="5"/>
      <c r="AB78" s="5"/>
      <c r="AC78" s="5"/>
      <c r="AD78" s="5"/>
      <c r="AE78" s="5"/>
      <c r="AF78" s="5"/>
      <c r="AG78" s="5"/>
    </row>
    <row r="79" spans="1:33" ht="45" x14ac:dyDescent="0.25">
      <c r="A79" s="4"/>
      <c r="B79" s="9" t="s">
        <v>68</v>
      </c>
      <c r="C79" s="4" t="s">
        <v>12</v>
      </c>
      <c r="D79" s="4" t="str">
        <f t="shared" si="9"/>
        <v>Talk back module (Component)</v>
      </c>
      <c r="E79" s="4" t="str">
        <f t="shared" si="8"/>
        <v>Component - Talk back module</v>
      </c>
      <c r="F79" s="4" t="s">
        <v>380</v>
      </c>
      <c r="G79" s="4" t="s">
        <v>205</v>
      </c>
      <c r="H79" s="4"/>
      <c r="I79" s="4"/>
      <c r="J79" s="4"/>
      <c r="K79" s="4"/>
      <c r="L79" s="20"/>
      <c r="M79" s="4"/>
      <c r="N79" s="4">
        <f t="shared" si="10"/>
        <v>0</v>
      </c>
      <c r="O79" s="5"/>
      <c r="P79" s="5"/>
      <c r="Q79" s="5"/>
      <c r="R79" s="5"/>
      <c r="S79" s="5"/>
      <c r="T79" s="5"/>
      <c r="U79" s="5"/>
      <c r="V79" s="5"/>
      <c r="W79" s="5"/>
      <c r="X79" s="5"/>
      <c r="Y79" s="5"/>
      <c r="Z79" s="5"/>
      <c r="AA79" s="5"/>
      <c r="AB79" s="5"/>
      <c r="AC79" s="5"/>
      <c r="AD79" s="5"/>
      <c r="AE79" s="5"/>
      <c r="AF79" s="5"/>
      <c r="AG79" s="5"/>
    </row>
    <row r="80" spans="1:33" ht="30" x14ac:dyDescent="0.25">
      <c r="A80" s="4"/>
      <c r="B80" s="9" t="s">
        <v>10</v>
      </c>
      <c r="C80" s="4" t="s">
        <v>12</v>
      </c>
      <c r="D80" s="4" t="str">
        <f t="shared" si="9"/>
        <v>UI componenten (Component)</v>
      </c>
      <c r="E80" s="4" t="str">
        <f t="shared" si="8"/>
        <v>Component - UI componenten</v>
      </c>
      <c r="F80" s="11" t="s">
        <v>170</v>
      </c>
      <c r="G80" s="4" t="s">
        <v>205</v>
      </c>
      <c r="H80" s="4"/>
      <c r="I80" s="4"/>
      <c r="J80" s="4"/>
      <c r="K80" s="4"/>
      <c r="L80" s="20"/>
      <c r="M80" s="4"/>
      <c r="N80" s="4">
        <f t="shared" si="10"/>
        <v>0</v>
      </c>
      <c r="O80" s="5"/>
      <c r="P80" s="5"/>
      <c r="Q80" s="5"/>
      <c r="R80" s="5"/>
      <c r="S80" s="5"/>
      <c r="T80" s="5"/>
      <c r="U80" s="5"/>
      <c r="V80" s="5"/>
      <c r="W80" s="5"/>
      <c r="X80" s="5"/>
      <c r="Y80" s="5"/>
      <c r="Z80" s="5"/>
      <c r="AA80" s="5"/>
      <c r="AB80" s="5"/>
      <c r="AC80" s="5"/>
      <c r="AD80" s="5"/>
      <c r="AE80" s="5"/>
      <c r="AF80" s="5"/>
      <c r="AG80" s="5"/>
    </row>
    <row r="81" spans="1:33" ht="45" x14ac:dyDescent="0.25">
      <c r="A81" s="4"/>
      <c r="B81" s="4" t="s">
        <v>89</v>
      </c>
      <c r="C81" s="4" t="s">
        <v>12</v>
      </c>
      <c r="D81" s="4" t="str">
        <f t="shared" si="9"/>
        <v>Virutele assistent??? (Component)</v>
      </c>
      <c r="E81" s="4" t="str">
        <f t="shared" si="8"/>
        <v>Component - Virutele assistent???</v>
      </c>
      <c r="F81" s="11" t="s">
        <v>170</v>
      </c>
      <c r="G81" s="4" t="s">
        <v>205</v>
      </c>
      <c r="H81" s="4"/>
      <c r="I81" s="4"/>
      <c r="J81" s="4"/>
      <c r="K81" s="4"/>
      <c r="L81" s="20"/>
      <c r="M81" s="4"/>
      <c r="N81" s="4">
        <f t="shared" si="10"/>
        <v>0</v>
      </c>
      <c r="O81" s="5"/>
      <c r="P81" s="5"/>
      <c r="Q81" s="5"/>
      <c r="R81" s="5"/>
      <c r="S81" s="5"/>
      <c r="T81" s="5"/>
      <c r="U81" s="5"/>
      <c r="V81" s="5"/>
      <c r="W81" s="5"/>
      <c r="X81" s="5"/>
      <c r="Y81" s="5"/>
      <c r="Z81" s="5"/>
      <c r="AA81" s="5"/>
      <c r="AB81" s="5"/>
      <c r="AC81" s="5"/>
      <c r="AD81" s="5"/>
      <c r="AE81" s="5"/>
      <c r="AF81" s="5"/>
      <c r="AG81" s="5"/>
    </row>
    <row r="82" spans="1:33" ht="30" x14ac:dyDescent="0.25">
      <c r="A82" s="4"/>
      <c r="B82" s="9" t="s">
        <v>9</v>
      </c>
      <c r="C82" s="4" t="s">
        <v>12</v>
      </c>
      <c r="D82" s="4" t="str">
        <f t="shared" si="9"/>
        <v>Voice &amp; Speech (Component)</v>
      </c>
      <c r="E82" s="4" t="str">
        <f t="shared" si="8"/>
        <v>Component - Voice &amp; Speech</v>
      </c>
      <c r="F82" s="4"/>
      <c r="G82" s="4" t="s">
        <v>205</v>
      </c>
      <c r="H82" s="4"/>
      <c r="I82" s="4"/>
      <c r="J82" s="4"/>
      <c r="K82" s="4"/>
      <c r="L82" s="20"/>
      <c r="M82" s="4"/>
      <c r="N82" s="4">
        <f t="shared" si="10"/>
        <v>0</v>
      </c>
      <c r="O82" s="5"/>
      <c r="P82" s="5"/>
      <c r="Q82" s="5"/>
      <c r="R82" s="5"/>
      <c r="S82" s="5"/>
      <c r="T82" s="5"/>
      <c r="U82" s="5"/>
      <c r="V82" s="5"/>
      <c r="W82" s="5"/>
      <c r="X82" s="5"/>
      <c r="Y82" s="5"/>
      <c r="Z82" s="5"/>
      <c r="AA82" s="5"/>
      <c r="AB82" s="5"/>
      <c r="AC82" s="5"/>
      <c r="AD82" s="5"/>
      <c r="AE82" s="5"/>
      <c r="AF82" s="5"/>
      <c r="AG82" s="5"/>
    </row>
    <row r="83" spans="1:33" ht="30" x14ac:dyDescent="0.25">
      <c r="A83" s="4"/>
      <c r="B83" s="4" t="s">
        <v>112</v>
      </c>
      <c r="C83" s="4" t="s">
        <v>94</v>
      </c>
      <c r="D83" s="4" t="str">
        <f t="shared" si="9"/>
        <v>Data Lake (IoT engines)</v>
      </c>
      <c r="E83" s="4" t="str">
        <f t="shared" si="8"/>
        <v>IoT engines - Data Lake</v>
      </c>
      <c r="F83" s="11" t="s">
        <v>170</v>
      </c>
      <c r="G83" s="4" t="s">
        <v>205</v>
      </c>
      <c r="H83" s="4"/>
      <c r="I83" s="4"/>
      <c r="J83" s="4"/>
      <c r="K83" s="4"/>
      <c r="L83" s="20"/>
      <c r="M83" s="4"/>
      <c r="N83" s="4">
        <f t="shared" si="10"/>
        <v>0</v>
      </c>
      <c r="O83" s="5"/>
      <c r="P83" s="5"/>
      <c r="Q83" s="5"/>
      <c r="R83" s="5"/>
      <c r="S83" s="5"/>
      <c r="T83" s="5"/>
      <c r="U83" s="5"/>
      <c r="V83" s="5"/>
      <c r="W83" s="5"/>
      <c r="X83" s="5"/>
      <c r="Y83" s="5"/>
      <c r="Z83" s="5"/>
      <c r="AA83" s="5"/>
      <c r="AB83" s="5"/>
      <c r="AC83" s="5"/>
      <c r="AD83" s="5"/>
      <c r="AE83" s="5"/>
      <c r="AF83" s="5"/>
      <c r="AG83" s="5"/>
    </row>
    <row r="84" spans="1:33" ht="60" x14ac:dyDescent="0.25">
      <c r="A84" s="4"/>
      <c r="B84" s="4" t="s">
        <v>107</v>
      </c>
      <c r="C84" s="4" t="s">
        <v>94</v>
      </c>
      <c r="D84" s="4" t="str">
        <f t="shared" si="9"/>
        <v>IoT Gateway (IoT engines)</v>
      </c>
      <c r="E84" s="4" t="str">
        <f t="shared" si="8"/>
        <v>IoT engines - IoT Gateway</v>
      </c>
      <c r="F84" s="4" t="s">
        <v>172</v>
      </c>
      <c r="G84" s="4" t="s">
        <v>205</v>
      </c>
      <c r="H84" s="4"/>
      <c r="I84" s="4"/>
      <c r="J84" s="4"/>
      <c r="K84" s="4"/>
      <c r="L84" s="20"/>
      <c r="M84" s="4"/>
      <c r="N84" s="4">
        <f t="shared" si="10"/>
        <v>0</v>
      </c>
      <c r="O84" s="5"/>
      <c r="P84" s="5"/>
      <c r="Q84" s="5"/>
      <c r="R84" s="5"/>
      <c r="S84" s="5"/>
      <c r="T84" s="5"/>
      <c r="U84" s="5"/>
      <c r="V84" s="5"/>
      <c r="W84" s="5"/>
      <c r="X84" s="5"/>
      <c r="Y84" s="5"/>
      <c r="Z84" s="5"/>
      <c r="AA84" s="5"/>
      <c r="AB84" s="5"/>
      <c r="AC84" s="5"/>
      <c r="AD84" s="5"/>
      <c r="AE84" s="5"/>
      <c r="AF84" s="5"/>
      <c r="AG84" s="5"/>
    </row>
    <row r="85" spans="1:33" ht="45" x14ac:dyDescent="0.25">
      <c r="A85" s="4"/>
      <c r="B85" s="4" t="s">
        <v>109</v>
      </c>
      <c r="C85" s="4" t="s">
        <v>94</v>
      </c>
      <c r="D85" s="4" t="str">
        <f t="shared" si="9"/>
        <v>Metadata mangement (IoT engines)</v>
      </c>
      <c r="E85" s="4" t="str">
        <f t="shared" si="8"/>
        <v>IoT engines - Metadata mangement</v>
      </c>
      <c r="F85" s="11" t="s">
        <v>170</v>
      </c>
      <c r="G85" s="4" t="s">
        <v>205</v>
      </c>
      <c r="H85" s="4"/>
      <c r="I85" s="4"/>
      <c r="J85" s="4"/>
      <c r="K85" s="4"/>
      <c r="L85" s="20"/>
      <c r="M85" s="4"/>
      <c r="N85" s="4">
        <f t="shared" si="10"/>
        <v>0</v>
      </c>
      <c r="O85" s="5"/>
      <c r="P85" s="5"/>
      <c r="Q85" s="5"/>
      <c r="R85" s="5"/>
      <c r="S85" s="5"/>
      <c r="T85" s="5"/>
      <c r="U85" s="5"/>
      <c r="V85" s="5"/>
      <c r="W85" s="5"/>
      <c r="X85" s="5"/>
      <c r="Y85" s="5"/>
      <c r="Z85" s="5"/>
      <c r="AA85" s="5"/>
      <c r="AB85" s="5"/>
      <c r="AC85" s="5"/>
      <c r="AD85" s="5"/>
      <c r="AE85" s="5"/>
      <c r="AF85" s="5"/>
      <c r="AG85" s="5"/>
    </row>
    <row r="86" spans="1:33" ht="30" x14ac:dyDescent="0.25">
      <c r="A86" s="4"/>
      <c r="B86" s="4" t="s">
        <v>110</v>
      </c>
      <c r="C86" s="4" t="s">
        <v>94</v>
      </c>
      <c r="D86" s="4" t="str">
        <f t="shared" si="9"/>
        <v>Profiing (IoT engines)</v>
      </c>
      <c r="E86" s="4" t="str">
        <f t="shared" si="8"/>
        <v>IoT engines - Profiing</v>
      </c>
      <c r="F86" s="11" t="s">
        <v>170</v>
      </c>
      <c r="G86" s="4" t="s">
        <v>205</v>
      </c>
      <c r="H86" s="4"/>
      <c r="I86" s="4"/>
      <c r="J86" s="4"/>
      <c r="K86" s="4"/>
      <c r="L86" s="20"/>
      <c r="M86" s="4"/>
      <c r="N86" s="4">
        <f t="shared" si="10"/>
        <v>0</v>
      </c>
      <c r="O86" s="5"/>
      <c r="P86" s="5"/>
      <c r="Q86" s="5"/>
      <c r="R86" s="5"/>
      <c r="S86" s="5"/>
      <c r="T86" s="5"/>
      <c r="U86" s="5"/>
      <c r="V86" s="5"/>
      <c r="W86" s="5"/>
      <c r="X86" s="5"/>
      <c r="Y86" s="5"/>
      <c r="Z86" s="5"/>
      <c r="AA86" s="5"/>
      <c r="AB86" s="5"/>
      <c r="AC86" s="5"/>
      <c r="AD86" s="5"/>
      <c r="AE86" s="5"/>
      <c r="AF86" s="5"/>
      <c r="AG86" s="5"/>
    </row>
    <row r="87" spans="1:33" ht="45" x14ac:dyDescent="0.25">
      <c r="A87" s="4"/>
      <c r="B87" s="4" t="s">
        <v>108</v>
      </c>
      <c r="C87" s="4" t="s">
        <v>94</v>
      </c>
      <c r="D87" s="4" t="str">
        <f t="shared" si="9"/>
        <v>Realtime Processing (IoT engines)</v>
      </c>
      <c r="E87" s="4" t="str">
        <f t="shared" si="8"/>
        <v>IoT engines - Realtime Processing</v>
      </c>
      <c r="F87" s="11" t="s">
        <v>170</v>
      </c>
      <c r="G87" s="4" t="s">
        <v>205</v>
      </c>
      <c r="H87" s="4"/>
      <c r="I87" s="4"/>
      <c r="J87" s="4"/>
      <c r="K87" s="4"/>
      <c r="L87" s="20"/>
      <c r="M87" s="4"/>
      <c r="N87" s="4">
        <f t="shared" si="10"/>
        <v>0</v>
      </c>
      <c r="O87" s="5"/>
      <c r="P87" s="5"/>
      <c r="Q87" s="5"/>
      <c r="R87" s="5"/>
      <c r="S87" s="5"/>
      <c r="T87" s="5"/>
      <c r="U87" s="5"/>
      <c r="V87" s="5"/>
      <c r="W87" s="5"/>
      <c r="X87" s="5"/>
      <c r="Y87" s="5"/>
      <c r="Z87" s="5"/>
      <c r="AA87" s="5"/>
      <c r="AB87" s="5"/>
      <c r="AC87" s="5"/>
      <c r="AD87" s="5"/>
      <c r="AE87" s="5"/>
      <c r="AF87" s="5"/>
      <c r="AG87" s="5"/>
    </row>
    <row r="88" spans="1:33" ht="30" x14ac:dyDescent="0.25">
      <c r="A88" s="4"/>
      <c r="B88" s="4" t="s">
        <v>111</v>
      </c>
      <c r="C88" s="4" t="s">
        <v>94</v>
      </c>
      <c r="D88" s="4" t="str">
        <f t="shared" si="9"/>
        <v>Robotics gateway (IoT engines)</v>
      </c>
      <c r="E88" s="4" t="str">
        <f t="shared" si="8"/>
        <v>IoT engines - Robotics gateway</v>
      </c>
      <c r="F88" s="11" t="s">
        <v>170</v>
      </c>
      <c r="G88" s="4" t="s">
        <v>205</v>
      </c>
      <c r="H88" s="4"/>
      <c r="I88" s="4"/>
      <c r="J88" s="4"/>
      <c r="K88" s="4"/>
      <c r="L88" s="20"/>
      <c r="M88" s="4"/>
      <c r="N88" s="4">
        <f t="shared" si="10"/>
        <v>0</v>
      </c>
      <c r="O88" s="5"/>
      <c r="P88" s="5"/>
      <c r="Q88" s="5"/>
      <c r="R88" s="5"/>
      <c r="S88" s="5"/>
      <c r="T88" s="5"/>
      <c r="U88" s="5"/>
      <c r="V88" s="5"/>
      <c r="W88" s="5"/>
      <c r="X88" s="5"/>
      <c r="Y88" s="5"/>
      <c r="Z88" s="5"/>
      <c r="AA88" s="5"/>
      <c r="AB88" s="5"/>
      <c r="AC88" s="5"/>
      <c r="AD88" s="5"/>
      <c r="AE88" s="5"/>
      <c r="AF88" s="5"/>
      <c r="AG88" s="5"/>
    </row>
    <row r="89" spans="1:33" ht="30" x14ac:dyDescent="0.25">
      <c r="A89" s="4"/>
      <c r="B89" s="4" t="s">
        <v>118</v>
      </c>
      <c r="C89" s="4" t="s">
        <v>14</v>
      </c>
      <c r="D89" s="4" t="str">
        <f t="shared" si="9"/>
        <v>(ver)Bouwen (Klantvragen)</v>
      </c>
      <c r="E89" s="4" t="str">
        <f t="shared" si="8"/>
        <v>Klantvragen - (ver)Bouwen</v>
      </c>
      <c r="F89" s="4" t="s">
        <v>174</v>
      </c>
      <c r="G89" s="4" t="s">
        <v>205</v>
      </c>
      <c r="H89" s="4"/>
      <c r="I89" s="4"/>
      <c r="J89" s="4"/>
      <c r="K89" s="4"/>
      <c r="L89" s="20"/>
      <c r="M89" s="4"/>
      <c r="N89" s="4">
        <f t="shared" si="10"/>
        <v>0</v>
      </c>
      <c r="O89" s="5"/>
      <c r="P89" s="5"/>
      <c r="Q89" s="5"/>
      <c r="R89" s="5"/>
      <c r="S89" s="5"/>
      <c r="T89" s="5"/>
      <c r="U89" s="5"/>
      <c r="V89" s="5"/>
      <c r="W89" s="5"/>
      <c r="X89" s="5"/>
      <c r="Y89" s="5"/>
      <c r="Z89" s="5"/>
      <c r="AA89" s="5"/>
      <c r="AB89" s="5"/>
      <c r="AC89" s="5"/>
      <c r="AD89" s="5"/>
      <c r="AE89" s="5"/>
      <c r="AF89" s="5"/>
      <c r="AG89" s="5"/>
    </row>
    <row r="90" spans="1:33" ht="30" x14ac:dyDescent="0.25">
      <c r="A90" s="4"/>
      <c r="B90" s="4" t="s">
        <v>158</v>
      </c>
      <c r="C90" s="4" t="s">
        <v>14</v>
      </c>
      <c r="D90" s="4" t="str">
        <f t="shared" ref="D90:D93" si="11">CONCATENATE(B90," (",C90,")")</f>
        <v>Basisgegevens (Klantvragen)</v>
      </c>
      <c r="E90" s="4" t="str">
        <f t="shared" si="8"/>
        <v>Klantvragen - Basisgegevens</v>
      </c>
      <c r="F90" s="4" t="s">
        <v>175</v>
      </c>
      <c r="G90" s="4" t="s">
        <v>205</v>
      </c>
      <c r="H90" s="4"/>
      <c r="I90" s="4"/>
      <c r="J90" s="4" t="s">
        <v>209</v>
      </c>
      <c r="K90" s="4" t="s">
        <v>210</v>
      </c>
      <c r="L90" s="20">
        <v>43525</v>
      </c>
      <c r="M90" s="18">
        <v>43647</v>
      </c>
      <c r="N90" s="4">
        <f t="shared" si="10"/>
        <v>122</v>
      </c>
      <c r="O90" s="5"/>
      <c r="P90" s="5"/>
      <c r="Q90" s="5"/>
      <c r="R90" s="5"/>
      <c r="S90" s="5"/>
      <c r="T90" s="5"/>
      <c r="U90" s="5"/>
      <c r="V90" s="5"/>
      <c r="W90" s="5"/>
      <c r="X90" s="5"/>
      <c r="Y90" s="5"/>
      <c r="Z90" s="5"/>
      <c r="AA90" s="5"/>
      <c r="AB90" s="5"/>
      <c r="AC90" s="5"/>
      <c r="AD90" s="5"/>
      <c r="AE90" s="5"/>
      <c r="AF90" s="5"/>
      <c r="AG90" s="5"/>
    </row>
    <row r="91" spans="1:33" ht="30" x14ac:dyDescent="0.25">
      <c r="A91" s="4"/>
      <c r="B91" s="4" t="s">
        <v>35</v>
      </c>
      <c r="C91" s="4" t="s">
        <v>14</v>
      </c>
      <c r="D91" s="4" t="str">
        <f t="shared" si="11"/>
        <v>Bezwaar (Klantvragen)</v>
      </c>
      <c r="E91" s="4" t="str">
        <f t="shared" si="8"/>
        <v>Klantvragen - Bezwaar</v>
      </c>
      <c r="F91" s="4" t="s">
        <v>176</v>
      </c>
      <c r="G91" s="4" t="s">
        <v>205</v>
      </c>
      <c r="H91" s="4"/>
      <c r="I91" s="4"/>
      <c r="J91" s="4" t="s">
        <v>209</v>
      </c>
      <c r="K91" s="4" t="s">
        <v>210</v>
      </c>
      <c r="L91" s="20">
        <v>43525</v>
      </c>
      <c r="M91" s="18">
        <v>43647</v>
      </c>
      <c r="N91" s="4">
        <f t="shared" si="10"/>
        <v>122</v>
      </c>
      <c r="O91" s="5"/>
      <c r="P91" s="5"/>
      <c r="Q91" s="5"/>
      <c r="R91" s="5"/>
      <c r="S91" s="5"/>
      <c r="T91" s="5"/>
      <c r="U91" s="5"/>
      <c r="V91" s="5"/>
      <c r="W91" s="5"/>
      <c r="X91" s="5"/>
      <c r="Y91" s="5"/>
      <c r="Z91" s="5"/>
      <c r="AA91" s="5"/>
      <c r="AB91" s="5"/>
      <c r="AC91" s="5"/>
      <c r="AD91" s="5"/>
      <c r="AE91" s="5"/>
      <c r="AF91" s="5"/>
      <c r="AG91" s="5"/>
    </row>
    <row r="92" spans="1:33" ht="30" x14ac:dyDescent="0.25">
      <c r="A92" s="4"/>
      <c r="B92" s="4" t="s">
        <v>36</v>
      </c>
      <c r="C92" s="4" t="s">
        <v>14</v>
      </c>
      <c r="D92" s="4" t="str">
        <f t="shared" si="11"/>
        <v>Idee (Klantvragen)</v>
      </c>
      <c r="E92" s="4" t="str">
        <f t="shared" si="8"/>
        <v>Klantvragen - Idee</v>
      </c>
      <c r="F92" s="4" t="s">
        <v>177</v>
      </c>
      <c r="G92" s="4" t="s">
        <v>205</v>
      </c>
      <c r="H92" s="4"/>
      <c r="I92" s="4"/>
      <c r="J92" s="4" t="s">
        <v>209</v>
      </c>
      <c r="K92" s="4" t="s">
        <v>210</v>
      </c>
      <c r="L92" s="20">
        <v>43525</v>
      </c>
      <c r="M92" s="18">
        <v>43647</v>
      </c>
      <c r="N92" s="4">
        <f t="shared" si="10"/>
        <v>122</v>
      </c>
      <c r="O92" s="5"/>
      <c r="P92" s="5"/>
      <c r="Q92" s="5"/>
      <c r="R92" s="5"/>
      <c r="S92" s="5"/>
      <c r="T92" s="5"/>
      <c r="U92" s="5"/>
      <c r="V92" s="5"/>
      <c r="W92" s="5"/>
      <c r="X92" s="5"/>
      <c r="Y92" s="5"/>
      <c r="Z92" s="5"/>
      <c r="AA92" s="5"/>
      <c r="AB92" s="5"/>
      <c r="AC92" s="5"/>
      <c r="AD92" s="5"/>
      <c r="AE92" s="5"/>
      <c r="AF92" s="5"/>
      <c r="AG92" s="5"/>
    </row>
    <row r="93" spans="1:33" ht="30" x14ac:dyDescent="0.25">
      <c r="A93" s="4"/>
      <c r="B93" s="4" t="s">
        <v>37</v>
      </c>
      <c r="C93" s="4" t="s">
        <v>14</v>
      </c>
      <c r="D93" s="4" t="str">
        <f t="shared" si="11"/>
        <v>Inkomen (Klantvragen)</v>
      </c>
      <c r="E93" s="4" t="str">
        <f t="shared" si="8"/>
        <v>Klantvragen - Inkomen</v>
      </c>
      <c r="F93" s="4" t="s">
        <v>178</v>
      </c>
      <c r="G93" s="4" t="s">
        <v>205</v>
      </c>
      <c r="H93" s="4"/>
      <c r="I93" s="4"/>
      <c r="J93" s="4"/>
      <c r="K93" s="4"/>
      <c r="L93" s="20"/>
      <c r="M93" s="4"/>
      <c r="N93" s="4">
        <f t="shared" si="10"/>
        <v>0</v>
      </c>
      <c r="O93" s="5"/>
      <c r="P93" s="5"/>
      <c r="Q93" s="5"/>
      <c r="R93" s="5"/>
      <c r="S93" s="5"/>
      <c r="T93" s="5"/>
      <c r="U93" s="5"/>
      <c r="V93" s="5"/>
      <c r="W93" s="5"/>
      <c r="X93" s="5"/>
      <c r="Y93" s="5"/>
      <c r="Z93" s="5"/>
      <c r="AA93" s="5"/>
      <c r="AB93" s="5"/>
      <c r="AC93" s="5"/>
      <c r="AD93" s="5"/>
      <c r="AE93" s="5"/>
      <c r="AF93" s="5"/>
      <c r="AG93" s="5"/>
    </row>
    <row r="94" spans="1:33" ht="30" x14ac:dyDescent="0.25">
      <c r="A94" s="4"/>
      <c r="B94" s="4" t="s">
        <v>87</v>
      </c>
      <c r="C94" s="4" t="s">
        <v>14</v>
      </c>
      <c r="D94" s="4" t="str">
        <f>CONCATENATE(B94," (",C94,")")</f>
        <v>Klacht (Klantvragen)</v>
      </c>
      <c r="E94" s="4" t="str">
        <f t="shared" si="8"/>
        <v>Klantvragen - Klacht</v>
      </c>
      <c r="F94" s="4" t="s">
        <v>179</v>
      </c>
      <c r="G94" s="4" t="s">
        <v>205</v>
      </c>
      <c r="H94" s="4"/>
      <c r="I94" s="4"/>
      <c r="J94" s="4" t="s">
        <v>209</v>
      </c>
      <c r="K94" s="4" t="s">
        <v>210</v>
      </c>
      <c r="L94" s="20">
        <v>43525</v>
      </c>
      <c r="M94" s="18">
        <v>43647</v>
      </c>
      <c r="N94" s="4">
        <f t="shared" si="10"/>
        <v>122</v>
      </c>
      <c r="O94" s="5"/>
      <c r="P94" s="5"/>
      <c r="Q94" s="5"/>
      <c r="R94" s="5"/>
      <c r="S94" s="5"/>
      <c r="T94" s="5"/>
      <c r="U94" s="5"/>
      <c r="V94" s="5"/>
      <c r="W94" s="5"/>
      <c r="X94" s="5"/>
      <c r="Y94" s="5"/>
      <c r="Z94" s="5"/>
      <c r="AA94" s="5"/>
      <c r="AB94" s="5"/>
      <c r="AC94" s="5"/>
      <c r="AD94" s="5"/>
      <c r="AE94" s="5"/>
      <c r="AF94" s="5"/>
      <c r="AG94" s="5"/>
    </row>
    <row r="95" spans="1:33" ht="30" x14ac:dyDescent="0.25">
      <c r="A95" s="4"/>
      <c r="B95" s="4" t="s">
        <v>119</v>
      </c>
      <c r="C95" s="4" t="s">
        <v>14</v>
      </c>
      <c r="D95" s="4" t="str">
        <f t="shared" ref="D95:D101" si="12">CONCATENATE(B95," (",C95,")")</f>
        <v>Leven in NL (Klantvragen)</v>
      </c>
      <c r="E95" s="4" t="str">
        <f t="shared" si="8"/>
        <v>Klantvragen - Leven in NL</v>
      </c>
      <c r="F95" s="4" t="s">
        <v>180</v>
      </c>
      <c r="G95" s="4" t="s">
        <v>205</v>
      </c>
      <c r="H95" s="4"/>
      <c r="I95" s="4"/>
      <c r="J95" s="4"/>
      <c r="K95" s="4"/>
      <c r="L95" s="20"/>
      <c r="M95" s="4"/>
      <c r="N95" s="4">
        <f t="shared" si="10"/>
        <v>0</v>
      </c>
      <c r="O95" s="5"/>
      <c r="P95" s="5"/>
      <c r="Q95" s="5"/>
      <c r="R95" s="5"/>
      <c r="S95" s="5"/>
      <c r="T95" s="5"/>
      <c r="U95" s="5"/>
      <c r="V95" s="5"/>
      <c r="W95" s="5"/>
      <c r="X95" s="5"/>
      <c r="Y95" s="5"/>
      <c r="Z95" s="5"/>
      <c r="AA95" s="5"/>
      <c r="AB95" s="5"/>
      <c r="AC95" s="5"/>
      <c r="AD95" s="5"/>
      <c r="AE95" s="5"/>
      <c r="AF95" s="5"/>
      <c r="AG95" s="5"/>
    </row>
    <row r="96" spans="1:33" ht="30" x14ac:dyDescent="0.25">
      <c r="A96" s="4"/>
      <c r="B96" s="4" t="s">
        <v>85</v>
      </c>
      <c r="C96" s="4" t="s">
        <v>14</v>
      </c>
      <c r="D96" s="4" t="str">
        <f t="shared" si="12"/>
        <v>Onderdak (Klantvragen)</v>
      </c>
      <c r="E96" s="4" t="str">
        <f t="shared" si="8"/>
        <v>Klantvragen - Onderdak</v>
      </c>
      <c r="F96" s="4" t="s">
        <v>181</v>
      </c>
      <c r="G96" s="4" t="s">
        <v>205</v>
      </c>
      <c r="H96" s="4"/>
      <c r="I96" s="4"/>
      <c r="J96" s="4"/>
      <c r="K96" s="4"/>
      <c r="L96" s="20"/>
      <c r="M96" s="4"/>
      <c r="N96" s="4">
        <f t="shared" si="10"/>
        <v>0</v>
      </c>
      <c r="O96" s="5"/>
      <c r="P96" s="5"/>
      <c r="Q96" s="5"/>
      <c r="R96" s="5"/>
      <c r="S96" s="5"/>
      <c r="T96" s="5"/>
      <c r="U96" s="5"/>
      <c r="V96" s="5"/>
      <c r="W96" s="5"/>
      <c r="X96" s="5"/>
      <c r="Y96" s="5"/>
      <c r="Z96" s="5"/>
      <c r="AA96" s="5"/>
      <c r="AB96" s="5"/>
      <c r="AC96" s="5"/>
      <c r="AD96" s="5"/>
      <c r="AE96" s="5"/>
      <c r="AF96" s="5"/>
      <c r="AG96" s="5"/>
    </row>
    <row r="97" spans="1:33" ht="30" x14ac:dyDescent="0.25">
      <c r="A97" s="4"/>
      <c r="B97" s="4" t="s">
        <v>157</v>
      </c>
      <c r="C97" s="4" t="s">
        <v>14</v>
      </c>
      <c r="D97" s="4" t="str">
        <f t="shared" si="12"/>
        <v>Ondernemen (Klantvragen)</v>
      </c>
      <c r="E97" s="4" t="str">
        <f t="shared" si="8"/>
        <v>Klantvragen - Ondernemen</v>
      </c>
      <c r="F97" s="4" t="s">
        <v>182</v>
      </c>
      <c r="G97" s="4" t="s">
        <v>205</v>
      </c>
      <c r="H97" s="4"/>
      <c r="I97" s="4"/>
      <c r="J97" s="4"/>
      <c r="K97" s="4"/>
      <c r="L97" s="20"/>
      <c r="M97" s="4"/>
      <c r="N97" s="4">
        <f t="shared" si="10"/>
        <v>0</v>
      </c>
      <c r="O97" s="5"/>
      <c r="P97" s="5"/>
      <c r="Q97" s="5"/>
      <c r="R97" s="5"/>
      <c r="S97" s="5"/>
      <c r="T97" s="5"/>
      <c r="U97" s="5"/>
      <c r="V97" s="5"/>
      <c r="W97" s="5"/>
      <c r="X97" s="5"/>
      <c r="Y97" s="5"/>
      <c r="Z97" s="5"/>
      <c r="AA97" s="5"/>
      <c r="AB97" s="5"/>
      <c r="AC97" s="5"/>
      <c r="AD97" s="5"/>
      <c r="AE97" s="5"/>
      <c r="AF97" s="5"/>
      <c r="AG97" s="5"/>
    </row>
    <row r="98" spans="1:33" ht="30" x14ac:dyDescent="0.25">
      <c r="A98" s="4"/>
      <c r="B98" s="4" t="s">
        <v>84</v>
      </c>
      <c r="C98" s="4" t="s">
        <v>14</v>
      </c>
      <c r="D98" s="4" t="str">
        <f t="shared" si="12"/>
        <v>Ondersteuning (Klantvragen)</v>
      </c>
      <c r="E98" s="4" t="str">
        <f t="shared" si="8"/>
        <v>Klantvragen - Ondersteuning</v>
      </c>
      <c r="F98" s="4" t="s">
        <v>183</v>
      </c>
      <c r="G98" s="4" t="s">
        <v>205</v>
      </c>
      <c r="H98" s="4"/>
      <c r="I98" s="4"/>
      <c r="J98" s="4"/>
      <c r="K98" s="4"/>
      <c r="L98" s="20"/>
      <c r="M98" s="4"/>
      <c r="N98" s="4">
        <f t="shared" si="10"/>
        <v>0</v>
      </c>
      <c r="O98" s="5"/>
      <c r="P98" s="5"/>
      <c r="Q98" s="5"/>
      <c r="R98" s="5"/>
      <c r="S98" s="5"/>
      <c r="T98" s="5"/>
      <c r="U98" s="5"/>
      <c r="V98" s="5"/>
      <c r="W98" s="5"/>
      <c r="X98" s="5"/>
      <c r="Y98" s="5"/>
      <c r="Z98" s="5"/>
      <c r="AA98" s="5"/>
      <c r="AB98" s="5"/>
      <c r="AC98" s="5"/>
      <c r="AD98" s="5"/>
      <c r="AE98" s="5"/>
      <c r="AF98" s="5"/>
      <c r="AG98" s="5"/>
    </row>
    <row r="99" spans="1:33" ht="30" x14ac:dyDescent="0.25">
      <c r="A99" s="4"/>
      <c r="B99" s="4" t="s">
        <v>159</v>
      </c>
      <c r="C99" s="4" t="s">
        <v>14</v>
      </c>
      <c r="D99" s="4" t="str">
        <f t="shared" si="12"/>
        <v>Organiseren (Klantvragen)</v>
      </c>
      <c r="E99" s="4" t="str">
        <f t="shared" si="8"/>
        <v>Klantvragen - Organiseren</v>
      </c>
      <c r="F99" s="4" t="s">
        <v>184</v>
      </c>
      <c r="G99" s="4" t="s">
        <v>205</v>
      </c>
      <c r="H99" s="4"/>
      <c r="I99" s="4"/>
      <c r="J99" s="4"/>
      <c r="K99" s="4"/>
      <c r="L99" s="20"/>
      <c r="M99" s="4"/>
      <c r="N99" s="4">
        <f t="shared" si="10"/>
        <v>0</v>
      </c>
      <c r="O99" s="5"/>
      <c r="P99" s="5"/>
      <c r="Q99" s="5"/>
      <c r="R99" s="5"/>
      <c r="S99" s="5"/>
      <c r="T99" s="5"/>
      <c r="U99" s="5"/>
      <c r="V99" s="5"/>
      <c r="W99" s="5"/>
      <c r="X99" s="5"/>
      <c r="Y99" s="5"/>
      <c r="Z99" s="5"/>
      <c r="AA99" s="5"/>
      <c r="AB99" s="5"/>
      <c r="AC99" s="5"/>
      <c r="AD99" s="5"/>
      <c r="AE99" s="5"/>
      <c r="AF99" s="5"/>
      <c r="AG99" s="5"/>
    </row>
    <row r="100" spans="1:33" ht="30" x14ac:dyDescent="0.25">
      <c r="A100" s="4"/>
      <c r="B100" s="4" t="s">
        <v>38</v>
      </c>
      <c r="C100" s="4" t="s">
        <v>14</v>
      </c>
      <c r="D100" s="4" t="str">
        <f t="shared" si="12"/>
        <v>Parkeren (Klantvragen)</v>
      </c>
      <c r="E100" s="4" t="str">
        <f t="shared" si="8"/>
        <v>Klantvragen - Parkeren</v>
      </c>
      <c r="F100" s="4" t="s">
        <v>185</v>
      </c>
      <c r="G100" s="4" t="s">
        <v>205</v>
      </c>
      <c r="H100" s="4"/>
      <c r="I100" s="4"/>
      <c r="J100" s="4"/>
      <c r="K100" s="4"/>
      <c r="L100" s="20"/>
      <c r="M100" s="4"/>
      <c r="N100" s="4">
        <f t="shared" si="10"/>
        <v>0</v>
      </c>
      <c r="O100" s="5"/>
      <c r="P100" s="5"/>
      <c r="Q100" s="5"/>
      <c r="R100" s="5"/>
      <c r="S100" s="5"/>
      <c r="T100" s="5"/>
      <c r="U100" s="5"/>
      <c r="V100" s="5"/>
      <c r="W100" s="5"/>
      <c r="X100" s="5"/>
      <c r="Y100" s="5"/>
      <c r="Z100" s="5"/>
      <c r="AA100" s="5"/>
      <c r="AB100" s="5"/>
      <c r="AC100" s="5"/>
      <c r="AD100" s="5"/>
      <c r="AE100" s="5"/>
      <c r="AF100" s="5"/>
      <c r="AG100" s="5"/>
    </row>
    <row r="101" spans="1:33" ht="30" x14ac:dyDescent="0.25">
      <c r="A101" s="4"/>
      <c r="B101" s="4" t="s">
        <v>86</v>
      </c>
      <c r="C101" s="4" t="s">
        <v>14</v>
      </c>
      <c r="D101" s="4" t="str">
        <f t="shared" si="12"/>
        <v>Schulden (Klantvragen)</v>
      </c>
      <c r="E101" s="4" t="str">
        <f t="shared" si="8"/>
        <v>Klantvragen - Schulden</v>
      </c>
      <c r="F101" s="4" t="s">
        <v>186</v>
      </c>
      <c r="G101" s="4" t="s">
        <v>205</v>
      </c>
      <c r="H101" s="4"/>
      <c r="I101" s="4"/>
      <c r="J101" s="4"/>
      <c r="K101" s="4"/>
      <c r="L101" s="20"/>
      <c r="M101" s="4"/>
      <c r="N101" s="4">
        <f t="shared" si="10"/>
        <v>0</v>
      </c>
      <c r="O101" s="5"/>
      <c r="P101" s="5"/>
      <c r="Q101" s="5"/>
      <c r="R101" s="5"/>
      <c r="S101" s="5"/>
      <c r="T101" s="5"/>
      <c r="U101" s="5"/>
      <c r="V101" s="5"/>
      <c r="W101" s="5"/>
      <c r="X101" s="5"/>
      <c r="Y101" s="5"/>
      <c r="Z101" s="5"/>
      <c r="AA101" s="5"/>
      <c r="AB101" s="5"/>
      <c r="AC101" s="5"/>
      <c r="AD101" s="5"/>
      <c r="AE101" s="5"/>
      <c r="AF101" s="5"/>
      <c r="AG101" s="5"/>
    </row>
    <row r="102" spans="1:33" ht="45" x14ac:dyDescent="0.25">
      <c r="A102" s="4"/>
      <c r="B102" s="4" t="s">
        <v>20</v>
      </c>
      <c r="C102" s="4" t="s">
        <v>14</v>
      </c>
      <c r="D102" s="4" t="str">
        <f t="shared" ref="D102:D107" si="13">CONCATENATE(B102," (",C102,")")</f>
        <v>Trouwen (Klantvragen)</v>
      </c>
      <c r="E102" s="4" t="str">
        <f t="shared" si="8"/>
        <v>Klantvragen - Trouwen</v>
      </c>
      <c r="F102" s="4" t="s">
        <v>187</v>
      </c>
      <c r="G102" s="4" t="s">
        <v>412</v>
      </c>
      <c r="H102" s="4"/>
      <c r="I102" s="4"/>
      <c r="J102" s="4" t="s">
        <v>213</v>
      </c>
      <c r="K102" s="4" t="s">
        <v>214</v>
      </c>
      <c r="L102" s="20">
        <v>43525</v>
      </c>
      <c r="M102" s="18">
        <v>43647</v>
      </c>
      <c r="N102" s="4">
        <f t="shared" si="10"/>
        <v>122</v>
      </c>
      <c r="O102" s="5" t="s">
        <v>44</v>
      </c>
      <c r="P102" s="5"/>
      <c r="Q102" s="5"/>
      <c r="R102" s="5"/>
      <c r="S102" s="5"/>
      <c r="T102" s="5"/>
      <c r="U102" s="5"/>
      <c r="V102" s="5"/>
      <c r="W102" s="5"/>
      <c r="X102" s="5"/>
      <c r="Y102" s="5"/>
      <c r="Z102" s="5"/>
      <c r="AA102" s="5"/>
      <c r="AB102" s="5"/>
      <c r="AC102" s="5"/>
      <c r="AD102" s="5"/>
      <c r="AE102" s="5"/>
      <c r="AF102" s="5"/>
      <c r="AG102" s="5"/>
    </row>
    <row r="103" spans="1:33" ht="30" x14ac:dyDescent="0.25">
      <c r="A103" s="4"/>
      <c r="B103" s="4" t="s">
        <v>156</v>
      </c>
      <c r="C103" s="4" t="s">
        <v>14</v>
      </c>
      <c r="D103" s="4" t="str">
        <f t="shared" si="13"/>
        <v>Verhuizen (Klantvragen)</v>
      </c>
      <c r="E103" s="4" t="str">
        <f t="shared" si="8"/>
        <v>Klantvragen - Verhuizen</v>
      </c>
      <c r="F103" s="4" t="s">
        <v>188</v>
      </c>
      <c r="G103" s="4" t="s">
        <v>412</v>
      </c>
      <c r="H103" s="4"/>
      <c r="I103" s="4"/>
      <c r="J103" s="4" t="s">
        <v>209</v>
      </c>
      <c r="K103" s="4" t="s">
        <v>210</v>
      </c>
      <c r="L103" s="20">
        <v>43525</v>
      </c>
      <c r="M103" s="18">
        <v>43647</v>
      </c>
      <c r="N103" s="4">
        <f t="shared" si="10"/>
        <v>122</v>
      </c>
      <c r="O103" s="5"/>
      <c r="P103" s="5" t="s">
        <v>44</v>
      </c>
      <c r="Q103" s="5"/>
      <c r="R103" s="5"/>
      <c r="S103" s="5"/>
      <c r="T103" s="5"/>
      <c r="U103" s="5"/>
      <c r="V103" s="5"/>
      <c r="W103" s="5"/>
      <c r="X103" s="5"/>
      <c r="Y103" s="5"/>
      <c r="Z103" s="5"/>
      <c r="AA103" s="5"/>
      <c r="AB103" s="5"/>
      <c r="AC103" s="5"/>
      <c r="AD103" s="5"/>
      <c r="AE103" s="5"/>
      <c r="AF103" s="5"/>
      <c r="AG103" s="5"/>
    </row>
    <row r="104" spans="1:33" ht="135" x14ac:dyDescent="0.25">
      <c r="A104" s="4"/>
      <c r="B104" s="4" t="s">
        <v>29</v>
      </c>
      <c r="C104" s="4" t="s">
        <v>16</v>
      </c>
      <c r="D104" s="4" t="str">
        <f t="shared" si="13"/>
        <v>DigiD (Landelijke voorzieningen)</v>
      </c>
      <c r="E104" s="4" t="str">
        <f t="shared" si="8"/>
        <v>Landelijke voorzieningen - DigiD</v>
      </c>
      <c r="F104" s="4" t="s">
        <v>189</v>
      </c>
      <c r="G104" s="4" t="s">
        <v>207</v>
      </c>
      <c r="H104" s="4"/>
      <c r="I104" s="4"/>
      <c r="J104" s="4"/>
      <c r="K104" s="4"/>
      <c r="L104" s="20"/>
      <c r="M104" s="4"/>
      <c r="N104" s="4">
        <f t="shared" si="10"/>
        <v>0</v>
      </c>
      <c r="O104" s="5" t="s">
        <v>44</v>
      </c>
      <c r="P104" s="5" t="s">
        <v>44</v>
      </c>
      <c r="Q104" s="5"/>
      <c r="R104" s="5"/>
      <c r="S104" s="5"/>
      <c r="T104" s="5"/>
      <c r="U104" s="5"/>
      <c r="V104" s="5"/>
      <c r="W104" s="5"/>
      <c r="X104" s="5"/>
      <c r="Y104" s="5"/>
      <c r="Z104" s="5"/>
      <c r="AA104" s="5"/>
      <c r="AB104" s="5"/>
      <c r="AC104" s="5"/>
      <c r="AD104" s="5"/>
      <c r="AE104" s="5"/>
      <c r="AF104" s="5"/>
      <c r="AG104" s="5"/>
    </row>
    <row r="105" spans="1:33" ht="45" x14ac:dyDescent="0.25">
      <c r="A105" s="4"/>
      <c r="B105" s="4" t="s">
        <v>27</v>
      </c>
      <c r="C105" s="4" t="s">
        <v>16</v>
      </c>
      <c r="D105" s="4" t="str">
        <f t="shared" si="13"/>
        <v>eHerkenning (Landelijke voorzieningen)</v>
      </c>
      <c r="E105" s="4" t="str">
        <f t="shared" si="8"/>
        <v>Landelijke voorzieningen - eHerkenning</v>
      </c>
      <c r="F105" s="4" t="s">
        <v>190</v>
      </c>
      <c r="G105" s="4" t="s">
        <v>207</v>
      </c>
      <c r="H105" s="4"/>
      <c r="I105" s="4"/>
      <c r="J105" s="4"/>
      <c r="K105" s="4"/>
      <c r="L105" s="20"/>
      <c r="M105" s="4"/>
      <c r="N105" s="4">
        <f t="shared" si="10"/>
        <v>0</v>
      </c>
      <c r="O105" s="5"/>
      <c r="P105" s="5"/>
      <c r="Q105" s="5"/>
      <c r="R105" s="5"/>
      <c r="S105" s="5"/>
      <c r="T105" s="5"/>
      <c r="U105" s="5"/>
      <c r="V105" s="5"/>
      <c r="W105" s="5"/>
      <c r="X105" s="5"/>
      <c r="Y105" s="5"/>
      <c r="Z105" s="5"/>
      <c r="AA105" s="5"/>
      <c r="AB105" s="5"/>
      <c r="AC105" s="5"/>
      <c r="AD105" s="5"/>
      <c r="AE105" s="5"/>
      <c r="AF105" s="5"/>
      <c r="AG105" s="5"/>
    </row>
    <row r="106" spans="1:33" ht="90" x14ac:dyDescent="0.25">
      <c r="A106" s="4"/>
      <c r="B106" s="4" t="s">
        <v>30</v>
      </c>
      <c r="C106" s="4" t="s">
        <v>16</v>
      </c>
      <c r="D106" s="4" t="str">
        <f t="shared" si="13"/>
        <v>eID (Landelijke voorzieningen)</v>
      </c>
      <c r="E106" s="4" t="str">
        <f t="shared" si="8"/>
        <v>Landelijke voorzieningen - eID</v>
      </c>
      <c r="F106" s="4" t="s">
        <v>191</v>
      </c>
      <c r="G106" s="4" t="s">
        <v>205</v>
      </c>
      <c r="H106" s="4"/>
      <c r="I106" s="4"/>
      <c r="J106" s="4"/>
      <c r="K106" s="4"/>
      <c r="L106" s="20"/>
      <c r="M106" s="4"/>
      <c r="N106" s="4">
        <f t="shared" si="10"/>
        <v>0</v>
      </c>
      <c r="O106" s="5"/>
      <c r="P106" s="5"/>
      <c r="Q106" s="5"/>
      <c r="R106" s="5"/>
      <c r="S106" s="5"/>
      <c r="T106" s="5"/>
      <c r="U106" s="5"/>
      <c r="V106" s="5"/>
      <c r="W106" s="5"/>
      <c r="X106" s="5"/>
      <c r="Y106" s="5"/>
      <c r="Z106" s="5"/>
      <c r="AA106" s="5"/>
      <c r="AB106" s="5"/>
      <c r="AC106" s="5"/>
      <c r="AD106" s="5"/>
      <c r="AE106" s="5"/>
      <c r="AF106" s="5"/>
      <c r="AG106" s="5"/>
    </row>
    <row r="107" spans="1:33" ht="45" x14ac:dyDescent="0.25">
      <c r="A107" s="4"/>
      <c r="B107" s="4" t="s">
        <v>28</v>
      </c>
      <c r="C107" s="4" t="s">
        <v>16</v>
      </c>
      <c r="D107" s="4" t="str">
        <f t="shared" si="13"/>
        <v>Itsme (Landelijke voorzieningen)</v>
      </c>
      <c r="E107" s="4" t="str">
        <f t="shared" si="8"/>
        <v>Landelijke voorzieningen - Itsme</v>
      </c>
      <c r="F107" s="4" t="s">
        <v>364</v>
      </c>
      <c r="G107" s="4" t="s">
        <v>205</v>
      </c>
      <c r="H107" s="4"/>
      <c r="I107" s="4"/>
      <c r="J107" s="4"/>
      <c r="K107" s="4"/>
      <c r="L107" s="20"/>
      <c r="M107" s="4"/>
      <c r="N107" s="4">
        <f t="shared" si="10"/>
        <v>0</v>
      </c>
      <c r="O107" s="5"/>
      <c r="P107" s="5"/>
      <c r="Q107" s="5"/>
      <c r="R107" s="5"/>
      <c r="S107" s="5"/>
      <c r="T107" s="5"/>
      <c r="U107" s="5"/>
      <c r="V107" s="5"/>
      <c r="W107" s="5"/>
      <c r="X107" s="5"/>
      <c r="Y107" s="5"/>
      <c r="Z107" s="5"/>
      <c r="AA107" s="5"/>
      <c r="AB107" s="5"/>
      <c r="AC107" s="5"/>
      <c r="AD107" s="5"/>
      <c r="AE107" s="5"/>
      <c r="AF107" s="5"/>
      <c r="AG107" s="5"/>
    </row>
    <row r="108" spans="1:33" ht="90" x14ac:dyDescent="0.25">
      <c r="A108" s="4"/>
      <c r="B108" s="4" t="s">
        <v>31</v>
      </c>
      <c r="C108" s="4" t="s">
        <v>16</v>
      </c>
      <c r="D108" s="4" t="str">
        <f>CONCATENATE(B108," (",C108,")")</f>
        <v>Life Events (Landelijke voorzieningen)</v>
      </c>
      <c r="E108" s="4" t="str">
        <f t="shared" si="8"/>
        <v>Landelijke voorzieningen - Life Events</v>
      </c>
      <c r="F108" s="9" t="s">
        <v>365</v>
      </c>
      <c r="G108" s="9" t="s">
        <v>206</v>
      </c>
      <c r="H108" s="4"/>
      <c r="I108" s="4"/>
      <c r="J108" s="4"/>
      <c r="K108" s="4"/>
      <c r="L108" s="20">
        <v>43525</v>
      </c>
      <c r="M108" s="18">
        <v>43647</v>
      </c>
      <c r="N108" s="4">
        <f t="shared" si="10"/>
        <v>122</v>
      </c>
      <c r="O108" s="5"/>
      <c r="P108" s="5"/>
      <c r="Q108" s="5"/>
      <c r="R108" s="5"/>
      <c r="S108" s="5"/>
      <c r="T108" s="5"/>
      <c r="U108" s="5"/>
      <c r="V108" s="5"/>
      <c r="W108" s="5"/>
      <c r="X108" s="5"/>
      <c r="Y108" s="5"/>
      <c r="Z108" s="5"/>
      <c r="AA108" s="5"/>
      <c r="AB108" s="5"/>
      <c r="AC108" s="5"/>
      <c r="AD108" s="5"/>
      <c r="AE108" s="5"/>
      <c r="AF108" s="5"/>
      <c r="AG108" s="5"/>
    </row>
    <row r="109" spans="1:33" ht="45" x14ac:dyDescent="0.25">
      <c r="A109" s="4"/>
      <c r="B109" s="4" t="s">
        <v>18</v>
      </c>
      <c r="C109" s="4" t="s">
        <v>16</v>
      </c>
      <c r="D109" s="4" t="str">
        <f t="shared" ref="D109:D110" si="14">CONCATENATE(B109," (",C109,")")</f>
        <v>NLX (Landelijke voorzieningen)</v>
      </c>
      <c r="E109" s="4" t="str">
        <f t="shared" si="8"/>
        <v>Landelijke voorzieningen - NLX</v>
      </c>
      <c r="F109" s="4" t="s">
        <v>366</v>
      </c>
      <c r="G109" s="4" t="s">
        <v>207</v>
      </c>
      <c r="H109" s="4"/>
      <c r="I109" s="4"/>
      <c r="J109" s="4" t="s">
        <v>215</v>
      </c>
      <c r="K109" s="4"/>
      <c r="L109" s="20"/>
      <c r="M109" s="4"/>
      <c r="N109" s="4">
        <f t="shared" si="10"/>
        <v>0</v>
      </c>
      <c r="O109" s="5" t="s">
        <v>44</v>
      </c>
      <c r="P109" s="5" t="s">
        <v>44</v>
      </c>
      <c r="Q109" s="5"/>
      <c r="R109" s="5"/>
      <c r="S109" s="5"/>
      <c r="T109" s="5"/>
      <c r="U109" s="5"/>
      <c r="V109" s="5"/>
      <c r="W109" s="5"/>
      <c r="X109" s="5"/>
      <c r="Y109" s="5"/>
      <c r="Z109" s="5"/>
      <c r="AA109" s="5"/>
      <c r="AB109" s="5"/>
      <c r="AC109" s="5"/>
      <c r="AD109" s="5"/>
      <c r="AE109" s="5"/>
      <c r="AF109" s="5"/>
      <c r="AG109" s="5"/>
    </row>
    <row r="110" spans="1:33" ht="165" x14ac:dyDescent="0.25">
      <c r="A110" s="4"/>
      <c r="B110" s="4" t="s">
        <v>32</v>
      </c>
      <c r="C110" s="4" t="s">
        <v>16</v>
      </c>
      <c r="D110" s="4" t="str">
        <f t="shared" si="14"/>
        <v>Vind Catalogus (Landelijke voorzieningen)</v>
      </c>
      <c r="E110" s="4" t="str">
        <f t="shared" si="8"/>
        <v>Landelijke voorzieningen - Vind Catalogus</v>
      </c>
      <c r="F110" s="4" t="s">
        <v>173</v>
      </c>
      <c r="G110" s="4" t="s">
        <v>207</v>
      </c>
      <c r="H110" s="4"/>
      <c r="I110" s="4"/>
      <c r="J110" s="4"/>
      <c r="K110" s="4"/>
      <c r="L110" s="20"/>
      <c r="M110" s="4"/>
      <c r="N110" s="4">
        <f t="shared" si="10"/>
        <v>0</v>
      </c>
      <c r="O110" s="5"/>
      <c r="P110" s="5"/>
      <c r="Q110" s="5"/>
      <c r="R110" s="5"/>
      <c r="S110" s="5"/>
      <c r="T110" s="5"/>
      <c r="U110" s="5"/>
      <c r="V110" s="5"/>
      <c r="W110" s="5"/>
      <c r="X110" s="5"/>
      <c r="Y110" s="5"/>
      <c r="Z110" s="5"/>
      <c r="AA110" s="5"/>
      <c r="AB110" s="5"/>
      <c r="AC110" s="5"/>
      <c r="AD110" s="5"/>
      <c r="AE110" s="5"/>
      <c r="AF110" s="5"/>
      <c r="AG110" s="5"/>
    </row>
    <row r="111" spans="1:33" ht="30" x14ac:dyDescent="0.25">
      <c r="A111" s="4"/>
      <c r="B111" s="4" t="s">
        <v>61</v>
      </c>
      <c r="C111" s="4" t="s">
        <v>13</v>
      </c>
      <c r="D111" s="4" t="str">
        <f>CONCATENATE(B111," (",C111,")")</f>
        <v>(AVG) Logging (Platform engine)</v>
      </c>
      <c r="E111" s="4" t="str">
        <f t="shared" si="8"/>
        <v>Platform engine - (AVG) Logging</v>
      </c>
      <c r="F111" s="4" t="s">
        <v>64</v>
      </c>
      <c r="G111" s="4" t="s">
        <v>206</v>
      </c>
      <c r="H111" s="4"/>
      <c r="I111" s="4"/>
      <c r="J111" s="4"/>
      <c r="K111" s="4"/>
      <c r="L111" s="20">
        <v>43525</v>
      </c>
      <c r="M111" s="18">
        <v>43647</v>
      </c>
      <c r="N111" s="4">
        <f t="shared" si="10"/>
        <v>122</v>
      </c>
      <c r="O111" s="5" t="s">
        <v>44</v>
      </c>
      <c r="P111" s="5"/>
      <c r="Q111" s="5"/>
      <c r="R111" s="5"/>
      <c r="S111" s="5"/>
      <c r="T111" s="5"/>
      <c r="U111" s="5"/>
      <c r="V111" s="5"/>
      <c r="W111" s="5"/>
      <c r="X111" s="5"/>
      <c r="Y111" s="5"/>
      <c r="Z111" s="5"/>
      <c r="AA111" s="5"/>
      <c r="AB111" s="5"/>
      <c r="AC111" s="5"/>
      <c r="AD111" s="5"/>
      <c r="AE111" s="5"/>
      <c r="AF111" s="5"/>
      <c r="AG111" s="5"/>
    </row>
    <row r="112" spans="1:33" ht="45" x14ac:dyDescent="0.25">
      <c r="A112" s="4"/>
      <c r="B112" s="4" t="s">
        <v>19</v>
      </c>
      <c r="C112" s="4" t="s">
        <v>13</v>
      </c>
      <c r="D112" s="4"/>
      <c r="E112" s="4" t="str">
        <f t="shared" si="8"/>
        <v>Platform engine - API Gateway / store</v>
      </c>
      <c r="F112" s="4" t="s">
        <v>65</v>
      </c>
      <c r="G112" s="4" t="s">
        <v>205</v>
      </c>
      <c r="H112" s="4"/>
      <c r="I112" s="4"/>
      <c r="J112" s="4"/>
      <c r="K112" s="4"/>
      <c r="L112" s="20"/>
      <c r="M112" s="4"/>
      <c r="N112" s="4">
        <f t="shared" si="10"/>
        <v>0</v>
      </c>
      <c r="O112" s="5" t="s">
        <v>44</v>
      </c>
      <c r="P112" s="5"/>
      <c r="Q112" s="5"/>
      <c r="R112" s="5"/>
      <c r="S112" s="5"/>
      <c r="T112" s="5"/>
      <c r="U112" s="5"/>
      <c r="V112" s="5"/>
      <c r="W112" s="5"/>
      <c r="X112" s="5"/>
      <c r="Y112" s="5"/>
      <c r="Z112" s="5"/>
      <c r="AA112" s="5"/>
      <c r="AB112" s="5"/>
      <c r="AC112" s="5"/>
      <c r="AD112" s="5"/>
      <c r="AE112" s="5"/>
      <c r="AF112" s="5"/>
      <c r="AG112" s="5"/>
    </row>
    <row r="113" spans="1:33" ht="30" x14ac:dyDescent="0.25">
      <c r="A113" s="4"/>
      <c r="B113" s="9" t="s">
        <v>51</v>
      </c>
      <c r="C113" s="4" t="s">
        <v>13</v>
      </c>
      <c r="D113" s="4"/>
      <c r="E113" s="4" t="str">
        <f t="shared" si="8"/>
        <v>Platform engine - Attribuut module</v>
      </c>
      <c r="F113" s="10" t="s">
        <v>164</v>
      </c>
      <c r="G113" s="10" t="s">
        <v>205</v>
      </c>
      <c r="H113" s="4"/>
      <c r="I113" s="4"/>
      <c r="J113" s="4"/>
      <c r="K113" s="4"/>
      <c r="L113" s="20"/>
      <c r="M113" s="4"/>
      <c r="N113" s="4">
        <f t="shared" si="10"/>
        <v>0</v>
      </c>
      <c r="O113" s="5"/>
      <c r="P113" s="5"/>
      <c r="Q113" s="5"/>
      <c r="R113" s="5"/>
      <c r="S113" s="5"/>
      <c r="T113" s="5"/>
      <c r="U113" s="5"/>
      <c r="V113" s="5"/>
      <c r="W113" s="5"/>
      <c r="X113" s="5"/>
      <c r="Y113" s="5"/>
      <c r="Z113" s="5"/>
      <c r="AA113" s="5"/>
      <c r="AB113" s="5"/>
      <c r="AC113" s="5"/>
      <c r="AD113" s="5"/>
      <c r="AE113" s="5"/>
      <c r="AF113" s="5"/>
      <c r="AG113" s="5"/>
    </row>
    <row r="114" spans="1:33" ht="150" x14ac:dyDescent="0.25">
      <c r="A114" s="4"/>
      <c r="B114" s="9" t="s">
        <v>73</v>
      </c>
      <c r="C114" s="9" t="s">
        <v>13</v>
      </c>
      <c r="D114" s="4" t="str">
        <f t="shared" ref="D114:D132" si="15">CONCATENATE(B114," (",C114,")")</f>
        <v>ESB (Platform engine)</v>
      </c>
      <c r="E114" s="4" t="str">
        <f t="shared" si="8"/>
        <v>Platform engine - ESB</v>
      </c>
      <c r="F114" s="4" t="s">
        <v>192</v>
      </c>
      <c r="G114" s="4" t="s">
        <v>205</v>
      </c>
      <c r="H114" s="4"/>
      <c r="I114" s="4"/>
      <c r="J114" s="4"/>
      <c r="K114" s="4"/>
      <c r="L114" s="20">
        <v>43525</v>
      </c>
      <c r="M114" s="18">
        <v>43647</v>
      </c>
      <c r="N114" s="4">
        <f t="shared" si="10"/>
        <v>122</v>
      </c>
      <c r="O114" s="5"/>
      <c r="P114" s="5"/>
      <c r="Q114" s="5"/>
      <c r="R114" s="5"/>
      <c r="S114" s="5"/>
      <c r="T114" s="5"/>
      <c r="U114" s="5"/>
      <c r="V114" s="5"/>
      <c r="W114" s="5"/>
      <c r="X114" s="5"/>
      <c r="Y114" s="5"/>
      <c r="Z114" s="5"/>
      <c r="AA114" s="5"/>
      <c r="AB114" s="5"/>
      <c r="AC114" s="5"/>
      <c r="AD114" s="5"/>
      <c r="AE114" s="5"/>
      <c r="AF114" s="5"/>
      <c r="AG114" s="5"/>
    </row>
    <row r="115" spans="1:33" ht="75" x14ac:dyDescent="0.25">
      <c r="A115" s="4"/>
      <c r="B115" s="9" t="s">
        <v>71</v>
      </c>
      <c r="C115" s="9" t="s">
        <v>13</v>
      </c>
      <c r="D115" s="4" t="str">
        <f>CONCATENATE(B116," (",C115,")")</f>
        <v>Gebruikersbeheer (Platform engine)</v>
      </c>
      <c r="E115" s="4" t="str">
        <f>CONCATENATE(C115," - ",B115,)</f>
        <v>Platform engine - Gebruikersbeheer</v>
      </c>
      <c r="F115" s="4" t="s">
        <v>194</v>
      </c>
      <c r="G115" s="4" t="s">
        <v>412</v>
      </c>
      <c r="H115" s="4"/>
      <c r="I115" s="4"/>
      <c r="J115" s="4" t="s">
        <v>209</v>
      </c>
      <c r="K115" s="4" t="s">
        <v>210</v>
      </c>
      <c r="L115" s="20">
        <v>43525</v>
      </c>
      <c r="M115" s="18">
        <v>43647</v>
      </c>
      <c r="N115" s="4">
        <f t="shared" si="10"/>
        <v>122</v>
      </c>
      <c r="O115" s="5" t="s">
        <v>198</v>
      </c>
      <c r="P115" s="5"/>
      <c r="Q115" s="5"/>
      <c r="R115" s="5"/>
      <c r="S115" s="5"/>
      <c r="T115" s="5"/>
      <c r="U115" s="5"/>
      <c r="V115" s="5"/>
      <c r="W115" s="5"/>
      <c r="X115" s="5"/>
      <c r="Y115" s="5"/>
      <c r="Z115" s="5"/>
      <c r="AA115" s="5"/>
      <c r="AB115" s="5"/>
      <c r="AC115" s="5"/>
      <c r="AD115" s="5"/>
      <c r="AE115" s="5"/>
      <c r="AF115" s="5"/>
      <c r="AG115" s="5"/>
    </row>
    <row r="116" spans="1:33" ht="45" x14ac:dyDescent="0.25">
      <c r="A116" s="4"/>
      <c r="B116" s="9" t="s">
        <v>71</v>
      </c>
      <c r="C116" s="9" t="s">
        <v>12</v>
      </c>
      <c r="D116" s="4" t="str">
        <f>CONCATENATE(B117," (",C116,")")</f>
        <v>Identiteit en toegang (Component)</v>
      </c>
      <c r="E116" s="4" t="str">
        <f>CONCATENATE(C116," - ",B116,)</f>
        <v>Component - Gebruikersbeheer</v>
      </c>
      <c r="F116" s="4" t="s">
        <v>374</v>
      </c>
      <c r="G116" s="4" t="s">
        <v>205</v>
      </c>
      <c r="H116" s="4"/>
      <c r="I116" s="4"/>
      <c r="J116" s="4"/>
      <c r="K116" s="4"/>
      <c r="L116" s="20"/>
      <c r="M116" s="18"/>
      <c r="N116" s="4"/>
      <c r="O116" s="5"/>
      <c r="P116" s="5"/>
      <c r="Q116" s="5"/>
      <c r="R116" s="5"/>
      <c r="S116" s="5"/>
      <c r="T116" s="5"/>
      <c r="U116" s="5"/>
      <c r="V116" s="5"/>
      <c r="W116" s="5"/>
      <c r="X116" s="5"/>
      <c r="Y116" s="5"/>
      <c r="Z116" s="5"/>
      <c r="AA116" s="5"/>
      <c r="AB116" s="5"/>
      <c r="AC116" s="5"/>
      <c r="AD116" s="5"/>
      <c r="AE116" s="5"/>
      <c r="AF116" s="5"/>
      <c r="AG116" s="5"/>
    </row>
    <row r="117" spans="1:33" ht="105" x14ac:dyDescent="0.25">
      <c r="A117" s="4"/>
      <c r="B117" s="9" t="s">
        <v>17</v>
      </c>
      <c r="C117" s="4" t="s">
        <v>13</v>
      </c>
      <c r="D117" s="4" t="str">
        <f t="shared" si="15"/>
        <v>Identiteit en toegang (Platform engine)</v>
      </c>
      <c r="E117" s="4" t="str">
        <f t="shared" si="8"/>
        <v>Platform engine - Identiteit en toegang</v>
      </c>
      <c r="F117" s="4" t="s">
        <v>195</v>
      </c>
      <c r="G117" s="4" t="s">
        <v>412</v>
      </c>
      <c r="H117" s="4"/>
      <c r="I117" s="4"/>
      <c r="J117" s="4"/>
      <c r="K117" s="4"/>
      <c r="L117" s="20"/>
      <c r="M117" s="4"/>
      <c r="N117" s="4">
        <f t="shared" si="10"/>
        <v>0</v>
      </c>
      <c r="O117" s="5" t="s">
        <v>44</v>
      </c>
      <c r="P117" s="5"/>
      <c r="Q117" s="5"/>
      <c r="R117" s="5"/>
      <c r="S117" s="5"/>
      <c r="T117" s="5"/>
      <c r="U117" s="5"/>
      <c r="V117" s="5"/>
      <c r="W117" s="5"/>
      <c r="X117" s="5"/>
      <c r="Y117" s="5"/>
      <c r="Z117" s="5"/>
      <c r="AA117" s="5"/>
      <c r="AB117" s="5"/>
      <c r="AC117" s="5"/>
      <c r="AD117" s="5"/>
      <c r="AE117" s="5"/>
      <c r="AF117" s="5"/>
      <c r="AG117" s="5"/>
    </row>
    <row r="118" spans="1:33" ht="45" x14ac:dyDescent="0.25">
      <c r="A118" s="4"/>
      <c r="B118" s="9" t="s">
        <v>72</v>
      </c>
      <c r="C118" s="9" t="s">
        <v>13</v>
      </c>
      <c r="D118" s="4" t="str">
        <f t="shared" si="15"/>
        <v>Look and Feel (dienstverlener) (Platform engine)</v>
      </c>
      <c r="E118" s="4" t="str">
        <f t="shared" si="8"/>
        <v>Platform engine - Look and Feel (dienstverlener)</v>
      </c>
      <c r="F118" s="4" t="s">
        <v>193</v>
      </c>
      <c r="G118" s="4" t="s">
        <v>205</v>
      </c>
      <c r="H118" s="4"/>
      <c r="I118" s="4"/>
      <c r="J118" s="4"/>
      <c r="K118" s="4"/>
      <c r="L118" s="20"/>
      <c r="M118" s="4"/>
      <c r="N118" s="4">
        <f t="shared" si="10"/>
        <v>0</v>
      </c>
      <c r="O118" s="5"/>
      <c r="P118" s="5"/>
      <c r="Q118" s="5"/>
      <c r="R118" s="5"/>
      <c r="S118" s="5"/>
      <c r="T118" s="5"/>
      <c r="U118" s="5"/>
      <c r="V118" s="5"/>
      <c r="W118" s="5"/>
      <c r="X118" s="5"/>
      <c r="Y118" s="5"/>
      <c r="Z118" s="5"/>
      <c r="AA118" s="5"/>
      <c r="AB118" s="5"/>
      <c r="AC118" s="5"/>
      <c r="AD118" s="5"/>
      <c r="AE118" s="5"/>
      <c r="AF118" s="5"/>
      <c r="AG118" s="5"/>
    </row>
    <row r="119" spans="1:33" ht="165" x14ac:dyDescent="0.25">
      <c r="A119" s="4"/>
      <c r="B119" s="4" t="s">
        <v>62</v>
      </c>
      <c r="C119" s="4" t="s">
        <v>13</v>
      </c>
      <c r="D119" s="4" t="str">
        <f t="shared" si="15"/>
        <v>Workflow engine (BPM) (Platform engine)</v>
      </c>
      <c r="E119" s="4" t="str">
        <f t="shared" si="8"/>
        <v>Platform engine - Workflow engine (BPM)</v>
      </c>
      <c r="F119" s="4" t="s">
        <v>63</v>
      </c>
      <c r="G119" s="4" t="s">
        <v>205</v>
      </c>
      <c r="H119" s="4"/>
      <c r="I119" s="4"/>
      <c r="J119" s="4"/>
      <c r="K119" s="4"/>
      <c r="L119" s="20"/>
      <c r="M119" s="4"/>
      <c r="N119" s="4">
        <f t="shared" si="10"/>
        <v>0</v>
      </c>
      <c r="O119" s="5" t="s">
        <v>198</v>
      </c>
      <c r="P119" s="5" t="s">
        <v>198</v>
      </c>
      <c r="Q119" s="5"/>
      <c r="R119" s="5"/>
      <c r="S119" s="5"/>
      <c r="T119" s="5"/>
      <c r="U119" s="5"/>
      <c r="V119" s="5"/>
      <c r="W119" s="5"/>
      <c r="X119" s="5"/>
      <c r="Y119" s="5"/>
      <c r="Z119" s="5"/>
      <c r="AA119" s="5"/>
      <c r="AB119" s="5"/>
      <c r="AC119" s="5"/>
      <c r="AD119" s="5"/>
      <c r="AE119" s="5"/>
      <c r="AF119" s="5"/>
      <c r="AG119" s="5"/>
    </row>
    <row r="120" spans="1:33" ht="45" x14ac:dyDescent="0.25">
      <c r="A120" s="4"/>
      <c r="B120" s="9" t="s">
        <v>216</v>
      </c>
      <c r="C120" s="9" t="s">
        <v>12</v>
      </c>
      <c r="D120" s="4" t="str">
        <f t="shared" si="15"/>
        <v>Evaluatie / klanttevredenheid (Component)</v>
      </c>
      <c r="E120" s="4" t="str">
        <f t="shared" si="8"/>
        <v>Component - Evaluatie / klanttevredenheid</v>
      </c>
      <c r="F120" s="4" t="s">
        <v>387</v>
      </c>
      <c r="G120" s="4" t="s">
        <v>205</v>
      </c>
      <c r="H120" s="4"/>
      <c r="I120" s="4"/>
      <c r="J120" s="4"/>
      <c r="K120" s="4"/>
      <c r="L120" s="20"/>
      <c r="M120" s="4"/>
      <c r="N120" s="4">
        <f t="shared" si="10"/>
        <v>0</v>
      </c>
      <c r="O120" s="5"/>
      <c r="P120" s="5"/>
      <c r="Q120" s="5"/>
      <c r="R120" s="5"/>
      <c r="S120" s="5"/>
      <c r="T120" s="5"/>
      <c r="U120" s="5"/>
      <c r="V120" s="5"/>
      <c r="W120" s="5"/>
      <c r="X120" s="5"/>
      <c r="Y120" s="5"/>
      <c r="Z120" s="5"/>
      <c r="AA120" s="5"/>
      <c r="AB120" s="5"/>
      <c r="AC120" s="5"/>
      <c r="AD120" s="5"/>
      <c r="AE120" s="5"/>
      <c r="AF120" s="5"/>
      <c r="AG120" s="5"/>
    </row>
    <row r="121" spans="1:33" ht="30" x14ac:dyDescent="0.25">
      <c r="A121" s="4"/>
      <c r="B121" s="9" t="s">
        <v>217</v>
      </c>
      <c r="C121" s="9" t="s">
        <v>12</v>
      </c>
      <c r="D121" s="4" t="str">
        <f t="shared" si="15"/>
        <v>Stemmodule (Component)</v>
      </c>
      <c r="E121" s="4" t="str">
        <f t="shared" si="8"/>
        <v>Component - Stemmodule</v>
      </c>
      <c r="F121" s="4" t="s">
        <v>386</v>
      </c>
      <c r="G121" s="4" t="s">
        <v>205</v>
      </c>
      <c r="H121" s="4"/>
      <c r="I121" s="4"/>
      <c r="J121" s="4"/>
      <c r="K121" s="4"/>
      <c r="L121" s="20"/>
      <c r="M121" s="4"/>
      <c r="N121" s="4">
        <f t="shared" si="10"/>
        <v>0</v>
      </c>
      <c r="O121" s="5"/>
      <c r="P121" s="5"/>
      <c r="Q121" s="5"/>
      <c r="R121" s="5"/>
      <c r="S121" s="5"/>
      <c r="T121" s="5"/>
      <c r="U121" s="5"/>
      <c r="V121" s="5"/>
      <c r="W121" s="5"/>
      <c r="X121" s="5"/>
      <c r="Y121" s="5"/>
      <c r="Z121" s="5"/>
      <c r="AA121" s="5"/>
      <c r="AB121" s="5"/>
      <c r="AC121" s="5"/>
      <c r="AD121" s="5"/>
      <c r="AE121" s="5"/>
      <c r="AF121" s="5"/>
      <c r="AG121" s="5"/>
    </row>
    <row r="122" spans="1:33" ht="60" x14ac:dyDescent="0.25">
      <c r="A122" s="4"/>
      <c r="B122" s="4" t="s">
        <v>218</v>
      </c>
      <c r="C122" s="4" t="s">
        <v>13</v>
      </c>
      <c r="D122" s="4" t="str">
        <f t="shared" si="15"/>
        <v>Aanbeveling / beoordeling
 (Platform engine)</v>
      </c>
      <c r="E122" s="4" t="str">
        <f t="shared" si="8"/>
        <v xml:space="preserve">Platform engine - Aanbeveling / beoordeling
</v>
      </c>
      <c r="F122" s="4" t="s">
        <v>388</v>
      </c>
      <c r="G122" s="4" t="s">
        <v>205</v>
      </c>
      <c r="H122" s="4"/>
      <c r="I122" s="4"/>
      <c r="J122" s="4"/>
      <c r="K122" s="4"/>
      <c r="L122" s="20"/>
      <c r="M122" s="4"/>
      <c r="N122" s="4">
        <f t="shared" si="10"/>
        <v>0</v>
      </c>
      <c r="O122" s="5"/>
      <c r="P122" s="5"/>
      <c r="Q122" s="5"/>
      <c r="R122" s="5"/>
      <c r="S122" s="5"/>
      <c r="T122" s="5"/>
      <c r="U122" s="5"/>
      <c r="V122" s="5"/>
      <c r="W122" s="5"/>
      <c r="X122" s="5"/>
      <c r="Y122" s="5"/>
      <c r="Z122" s="5"/>
      <c r="AA122" s="5"/>
      <c r="AB122" s="5"/>
      <c r="AC122" s="5"/>
      <c r="AD122" s="5"/>
      <c r="AE122" s="5"/>
      <c r="AF122" s="5"/>
      <c r="AG122" s="5"/>
    </row>
    <row r="123" spans="1:33" ht="150" x14ac:dyDescent="0.25">
      <c r="A123" s="4"/>
      <c r="B123" s="4" t="s">
        <v>223</v>
      </c>
      <c r="C123" s="4" t="s">
        <v>49</v>
      </c>
      <c r="D123" s="4" t="str">
        <f t="shared" si="15"/>
        <v>Verhuisorder (API)</v>
      </c>
      <c r="E123" s="4" t="str">
        <f t="shared" si="8"/>
        <v>API - Verhuisorder</v>
      </c>
      <c r="F123" s="4" t="s">
        <v>224</v>
      </c>
      <c r="G123" s="4" t="s">
        <v>205</v>
      </c>
      <c r="H123" s="4"/>
      <c r="I123" s="4"/>
      <c r="J123" s="4"/>
      <c r="K123" s="4"/>
      <c r="L123" s="20"/>
      <c r="M123" s="4"/>
      <c r="N123" s="4"/>
      <c r="O123" s="5"/>
      <c r="P123" s="5"/>
      <c r="Q123" s="5"/>
      <c r="R123" s="5"/>
      <c r="S123" s="5"/>
      <c r="T123" s="5"/>
      <c r="U123" s="5"/>
      <c r="V123" s="5"/>
      <c r="W123" s="5"/>
      <c r="X123" s="5"/>
      <c r="Y123" s="5"/>
      <c r="Z123" s="5"/>
      <c r="AA123" s="5"/>
      <c r="AB123" s="5"/>
      <c r="AC123" s="5"/>
      <c r="AD123" s="5"/>
      <c r="AE123" s="5"/>
      <c r="AF123" s="5"/>
      <c r="AG123" s="5"/>
    </row>
    <row r="124" spans="1:33" ht="30" x14ac:dyDescent="0.25">
      <c r="A124" s="4"/>
      <c r="B124" s="4" t="s">
        <v>333</v>
      </c>
      <c r="C124" s="4" t="s">
        <v>13</v>
      </c>
      <c r="D124" s="4" t="str">
        <f t="shared" si="15"/>
        <v>Mailserver (Platform engine)</v>
      </c>
      <c r="E124" s="4" t="str">
        <f t="shared" si="8"/>
        <v>Platform engine - Mailserver</v>
      </c>
      <c r="F124" s="4"/>
      <c r="G124" s="4" t="s">
        <v>205</v>
      </c>
      <c r="H124" s="4"/>
      <c r="I124" s="4"/>
      <c r="J124" s="4"/>
      <c r="K124" s="4"/>
      <c r="L124" s="20"/>
      <c r="M124" s="4"/>
      <c r="N124" s="4"/>
      <c r="O124" s="5"/>
      <c r="P124" s="5"/>
      <c r="Q124" s="5"/>
      <c r="R124" s="5"/>
      <c r="S124" s="5"/>
      <c r="T124" s="5"/>
      <c r="U124" s="5"/>
      <c r="V124" s="5"/>
      <c r="W124" s="5"/>
      <c r="X124" s="5"/>
      <c r="Y124" s="5"/>
      <c r="Z124" s="5"/>
      <c r="AA124" s="5"/>
      <c r="AB124" s="5"/>
      <c r="AC124" s="5"/>
      <c r="AD124" s="5"/>
      <c r="AE124" s="5"/>
      <c r="AF124" s="5"/>
      <c r="AG124" s="5"/>
    </row>
    <row r="125" spans="1:33" ht="30" x14ac:dyDescent="0.25">
      <c r="A125" s="4"/>
      <c r="B125" s="4" t="s">
        <v>345</v>
      </c>
      <c r="C125" s="4" t="s">
        <v>13</v>
      </c>
      <c r="D125" s="4" t="str">
        <f t="shared" si="15"/>
        <v>Betaalengine (Platform engine)</v>
      </c>
      <c r="E125" s="4" t="str">
        <f t="shared" si="8"/>
        <v>Platform engine - Betaalengine</v>
      </c>
      <c r="F125" s="4"/>
      <c r="G125" s="4" t="s">
        <v>205</v>
      </c>
      <c r="H125" s="4"/>
      <c r="I125" s="4"/>
      <c r="J125" s="4"/>
      <c r="K125" s="4"/>
      <c r="L125" s="20"/>
      <c r="M125" s="4"/>
      <c r="N125" s="4"/>
      <c r="O125" s="5"/>
      <c r="P125" s="5"/>
      <c r="Q125" s="5"/>
      <c r="R125" s="5"/>
      <c r="S125" s="5"/>
      <c r="T125" s="5"/>
      <c r="U125" s="5"/>
      <c r="V125" s="5"/>
      <c r="W125" s="5"/>
      <c r="X125" s="5"/>
      <c r="Y125" s="5"/>
      <c r="Z125" s="5"/>
      <c r="AA125" s="5"/>
      <c r="AB125" s="5"/>
      <c r="AC125" s="5"/>
      <c r="AD125" s="5"/>
      <c r="AE125" s="5"/>
      <c r="AF125" s="5"/>
      <c r="AG125" s="5"/>
    </row>
    <row r="126" spans="1:33" ht="45" x14ac:dyDescent="0.25">
      <c r="A126" s="4"/>
      <c r="B126" s="4" t="s">
        <v>356</v>
      </c>
      <c r="C126" s="4" t="s">
        <v>90</v>
      </c>
      <c r="D126" s="4" t="str">
        <f t="shared" si="15"/>
        <v>Admin &amp; Config (Beheeromgeving smart toolbox)</v>
      </c>
      <c r="E126" s="4" t="str">
        <f t="shared" si="8"/>
        <v>Beheeromgeving smart toolbox - Admin &amp; Config</v>
      </c>
      <c r="F126" s="4" t="s">
        <v>355</v>
      </c>
      <c r="G126" s="4" t="s">
        <v>205</v>
      </c>
      <c r="H126" s="4"/>
      <c r="I126" s="4"/>
      <c r="J126" s="4"/>
      <c r="K126" s="4"/>
      <c r="L126" s="20"/>
      <c r="M126" s="4"/>
      <c r="N126" s="4"/>
      <c r="O126" s="5"/>
      <c r="P126" s="5"/>
      <c r="Q126" s="5"/>
      <c r="R126" s="5"/>
      <c r="S126" s="5"/>
      <c r="T126" s="5"/>
      <c r="U126" s="5"/>
      <c r="V126" s="5"/>
      <c r="W126" s="5"/>
      <c r="X126" s="5"/>
      <c r="Y126" s="5"/>
      <c r="Z126" s="5"/>
      <c r="AA126" s="5"/>
      <c r="AB126" s="5"/>
      <c r="AC126" s="5"/>
      <c r="AD126" s="5"/>
      <c r="AE126" s="5"/>
      <c r="AF126" s="5"/>
      <c r="AG126" s="5"/>
    </row>
    <row r="127" spans="1:33" ht="30" x14ac:dyDescent="0.25">
      <c r="A127" s="4"/>
      <c r="B127" s="4" t="s">
        <v>370</v>
      </c>
      <c r="C127" s="4" t="s">
        <v>12</v>
      </c>
      <c r="D127" s="4" t="str">
        <f t="shared" si="15"/>
        <v>Reken module (Component)</v>
      </c>
      <c r="E127" s="4" t="str">
        <f t="shared" si="8"/>
        <v>Component - Reken module</v>
      </c>
      <c r="F127" s="4" t="s">
        <v>371</v>
      </c>
      <c r="G127" s="4" t="s">
        <v>205</v>
      </c>
      <c r="H127" s="4"/>
      <c r="I127" s="4"/>
      <c r="J127" s="4"/>
      <c r="K127" s="4"/>
      <c r="L127" s="20"/>
      <c r="M127" s="4"/>
      <c r="N127" s="4"/>
      <c r="O127" s="5"/>
      <c r="P127" s="5"/>
      <c r="Q127" s="5"/>
      <c r="R127" s="5"/>
      <c r="S127" s="5"/>
      <c r="T127" s="5"/>
      <c r="U127" s="5"/>
      <c r="V127" s="5"/>
      <c r="W127" s="5"/>
      <c r="X127" s="5"/>
      <c r="Y127" s="5"/>
      <c r="Z127" s="5"/>
      <c r="AA127" s="5"/>
      <c r="AB127" s="5"/>
      <c r="AC127" s="5"/>
      <c r="AD127" s="5"/>
      <c r="AE127" s="5"/>
      <c r="AF127" s="5"/>
      <c r="AG127" s="5"/>
    </row>
    <row r="128" spans="1:33" ht="30" x14ac:dyDescent="0.25">
      <c r="A128" s="4"/>
      <c r="B128" s="4" t="s">
        <v>372</v>
      </c>
      <c r="C128" s="4" t="s">
        <v>12</v>
      </c>
      <c r="D128" s="4" t="str">
        <f t="shared" si="15"/>
        <v>Dashboard module (Component)</v>
      </c>
      <c r="E128" s="4" t="str">
        <f t="shared" si="8"/>
        <v>Component - Dashboard module</v>
      </c>
      <c r="F128" s="4" t="s">
        <v>373</v>
      </c>
      <c r="G128" s="4" t="s">
        <v>205</v>
      </c>
      <c r="H128" s="4"/>
      <c r="I128" s="4"/>
      <c r="J128" s="4"/>
      <c r="K128" s="4"/>
      <c r="L128" s="20"/>
      <c r="M128" s="4"/>
      <c r="N128" s="4"/>
      <c r="O128" s="5"/>
      <c r="P128" s="5"/>
      <c r="Q128" s="5"/>
      <c r="R128" s="5"/>
      <c r="S128" s="5"/>
      <c r="T128" s="5"/>
      <c r="U128" s="5"/>
      <c r="V128" s="5"/>
      <c r="W128" s="5"/>
      <c r="X128" s="5"/>
      <c r="Y128" s="5"/>
      <c r="Z128" s="5"/>
      <c r="AA128" s="5"/>
      <c r="AB128" s="5"/>
      <c r="AC128" s="5"/>
      <c r="AD128" s="5"/>
      <c r="AE128" s="5"/>
      <c r="AF128" s="5"/>
      <c r="AG128" s="5"/>
    </row>
    <row r="129" spans="1:219" ht="45" x14ac:dyDescent="0.25">
      <c r="A129" s="4"/>
      <c r="B129" s="4" t="s">
        <v>375</v>
      </c>
      <c r="C129" s="4" t="s">
        <v>16</v>
      </c>
      <c r="D129" s="4" t="str">
        <f t="shared" si="15"/>
        <v>MijnOverheid.nl (Landelijke voorzieningen)</v>
      </c>
      <c r="E129" s="4" t="str">
        <f t="shared" si="8"/>
        <v>Landelijke voorzieningen - MijnOverheid.nl</v>
      </c>
      <c r="F129" s="4"/>
      <c r="G129" s="4" t="s">
        <v>207</v>
      </c>
      <c r="H129" s="4"/>
      <c r="I129" s="4"/>
      <c r="J129" s="4"/>
      <c r="K129" s="4"/>
      <c r="L129" s="20"/>
      <c r="M129" s="4"/>
      <c r="N129" s="4"/>
      <c r="O129" s="5"/>
      <c r="P129" s="5"/>
      <c r="Q129" s="5"/>
      <c r="R129" s="5"/>
      <c r="S129" s="5"/>
      <c r="T129" s="5"/>
      <c r="U129" s="5"/>
      <c r="V129" s="5"/>
      <c r="W129" s="5"/>
      <c r="X129" s="5"/>
      <c r="Y129" s="5"/>
      <c r="Z129" s="5"/>
      <c r="AA129" s="5"/>
      <c r="AB129" s="5"/>
      <c r="AC129" s="5"/>
      <c r="AD129" s="5"/>
      <c r="AE129" s="5"/>
      <c r="AF129" s="5"/>
      <c r="AG129" s="5"/>
    </row>
    <row r="130" spans="1:219" s="44" customFormat="1" ht="30" x14ac:dyDescent="0.25">
      <c r="A130" s="9"/>
      <c r="B130" s="9" t="s">
        <v>376</v>
      </c>
      <c r="C130" s="9" t="s">
        <v>12</v>
      </c>
      <c r="D130" s="9" t="str">
        <f t="shared" si="15"/>
        <v>MijnPassen (Component)</v>
      </c>
      <c r="E130" s="9" t="str">
        <f t="shared" si="8"/>
        <v>Component - MijnPassen</v>
      </c>
      <c r="F130" s="9" t="s">
        <v>377</v>
      </c>
      <c r="G130" s="9" t="s">
        <v>205</v>
      </c>
      <c r="H130" s="9"/>
      <c r="I130" s="9"/>
      <c r="J130" s="9"/>
      <c r="K130" s="9"/>
      <c r="L130" s="41"/>
      <c r="M130" s="9"/>
      <c r="N130" s="9"/>
      <c r="O130" s="42"/>
      <c r="P130" s="42"/>
      <c r="Q130" s="42"/>
      <c r="R130" s="42"/>
      <c r="S130" s="42"/>
      <c r="T130" s="42"/>
      <c r="U130" s="42"/>
      <c r="V130" s="42"/>
      <c r="W130" s="42"/>
      <c r="X130" s="42"/>
      <c r="Y130" s="42"/>
      <c r="Z130" s="42"/>
      <c r="AA130" s="42"/>
      <c r="AB130" s="42"/>
      <c r="AC130" s="42"/>
      <c r="AD130" s="42"/>
      <c r="AE130" s="42"/>
      <c r="AF130" s="42"/>
      <c r="AG130" s="42"/>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row>
    <row r="131" spans="1:219" s="44" customFormat="1" ht="30" x14ac:dyDescent="0.25">
      <c r="A131" s="9"/>
      <c r="B131" s="9" t="s">
        <v>378</v>
      </c>
      <c r="C131" s="9" t="s">
        <v>12</v>
      </c>
      <c r="D131" s="9" t="str">
        <f t="shared" si="15"/>
        <v>Scan module (Component)</v>
      </c>
      <c r="E131" s="9" t="str">
        <f t="shared" si="8"/>
        <v>Component - Scan module</v>
      </c>
      <c r="F131" s="9" t="s">
        <v>379</v>
      </c>
      <c r="G131" s="9" t="s">
        <v>207</v>
      </c>
      <c r="H131" s="9"/>
      <c r="I131" s="9"/>
      <c r="J131" s="9"/>
      <c r="K131" s="9"/>
      <c r="L131" s="41"/>
      <c r="M131" s="9"/>
      <c r="N131" s="9"/>
      <c r="O131" s="42"/>
      <c r="P131" s="42"/>
      <c r="Q131" s="42"/>
      <c r="R131" s="42"/>
      <c r="S131" s="42"/>
      <c r="T131" s="42"/>
      <c r="U131" s="42"/>
      <c r="V131" s="42"/>
      <c r="W131" s="42"/>
      <c r="X131" s="42"/>
      <c r="Y131" s="42"/>
      <c r="Z131" s="42"/>
      <c r="AA131" s="42"/>
      <c r="AB131" s="42"/>
      <c r="AC131" s="42"/>
      <c r="AD131" s="42"/>
      <c r="AE131" s="42"/>
      <c r="AF131" s="42"/>
      <c r="AG131" s="42"/>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row>
    <row r="132" spans="1:219" s="44" customFormat="1" ht="30" x14ac:dyDescent="0.25">
      <c r="A132" s="9"/>
      <c r="B132" s="9" t="s">
        <v>381</v>
      </c>
      <c r="C132" s="9" t="s">
        <v>12</v>
      </c>
      <c r="D132" s="9" t="str">
        <f t="shared" si="15"/>
        <v>Track &amp; trace (Component)</v>
      </c>
      <c r="E132" s="9" t="str">
        <f t="shared" si="8"/>
        <v>Component - Track &amp; trace</v>
      </c>
      <c r="F132" s="9" t="s">
        <v>389</v>
      </c>
      <c r="G132" s="9" t="s">
        <v>205</v>
      </c>
      <c r="H132" s="9"/>
      <c r="I132" s="9"/>
      <c r="J132" s="9"/>
      <c r="K132" s="9"/>
      <c r="L132" s="41"/>
      <c r="M132" s="9"/>
      <c r="N132" s="9"/>
      <c r="O132" s="42"/>
      <c r="P132" s="42"/>
      <c r="Q132" s="42"/>
      <c r="R132" s="42"/>
      <c r="S132" s="42"/>
      <c r="T132" s="42"/>
      <c r="U132" s="42"/>
      <c r="V132" s="42"/>
      <c r="W132" s="42"/>
      <c r="X132" s="42"/>
      <c r="Y132" s="42"/>
      <c r="Z132" s="42"/>
      <c r="AA132" s="42"/>
      <c r="AB132" s="42"/>
      <c r="AC132" s="42"/>
      <c r="AD132" s="42"/>
      <c r="AE132" s="42"/>
      <c r="AF132" s="42"/>
      <c r="AG132" s="42"/>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row>
    <row r="133" spans="1:219" x14ac:dyDescent="0.25">
      <c r="A133" s="4"/>
      <c r="B133" s="4"/>
      <c r="C133" s="4"/>
      <c r="D133" s="4"/>
      <c r="E133" s="4"/>
      <c r="F133" s="4"/>
      <c r="G133" s="4"/>
      <c r="H133" s="4"/>
      <c r="I133" s="4"/>
      <c r="J133" s="4"/>
      <c r="K133" s="4"/>
      <c r="L133" s="20"/>
      <c r="M133" s="4"/>
      <c r="N133" s="4"/>
      <c r="O133" s="5"/>
      <c r="P133" s="5"/>
      <c r="Q133" s="5"/>
      <c r="R133" s="5"/>
      <c r="S133" s="5"/>
      <c r="T133" s="5"/>
      <c r="U133" s="5"/>
      <c r="V133" s="5"/>
      <c r="W133" s="5"/>
      <c r="X133" s="5"/>
      <c r="Y133" s="5"/>
      <c r="Z133" s="5"/>
      <c r="AA133" s="5"/>
      <c r="AB133" s="5"/>
      <c r="AC133" s="5"/>
      <c r="AD133" s="5"/>
      <c r="AE133" s="5"/>
      <c r="AF133" s="5"/>
      <c r="AG133" s="5"/>
    </row>
    <row r="134" spans="1:219" x14ac:dyDescent="0.25">
      <c r="A134" s="4"/>
      <c r="B134" s="4"/>
      <c r="C134" s="4"/>
      <c r="D134" s="4"/>
      <c r="E134" s="4"/>
      <c r="F134" s="4"/>
      <c r="G134" s="4"/>
      <c r="H134" s="4"/>
      <c r="I134" s="4"/>
      <c r="J134" s="4"/>
      <c r="K134" s="4"/>
      <c r="L134" s="20"/>
      <c r="M134" s="4"/>
      <c r="N134" s="4"/>
      <c r="O134" s="5"/>
      <c r="P134" s="5"/>
      <c r="Q134" s="5"/>
      <c r="R134" s="5"/>
      <c r="S134" s="5"/>
      <c r="T134" s="5"/>
      <c r="U134" s="5"/>
      <c r="V134" s="5"/>
      <c r="W134" s="5"/>
      <c r="X134" s="5"/>
      <c r="Y134" s="5"/>
      <c r="Z134" s="5"/>
      <c r="AA134" s="5"/>
      <c r="AB134" s="5"/>
      <c r="AC134" s="5"/>
      <c r="AD134" s="5"/>
      <c r="AE134" s="5"/>
      <c r="AF134" s="5"/>
      <c r="AG134" s="5"/>
    </row>
    <row r="135" spans="1:219" x14ac:dyDescent="0.25">
      <c r="A135" s="4"/>
      <c r="B135" s="4"/>
      <c r="C135" s="4"/>
      <c r="D135" s="4"/>
      <c r="E135" s="4"/>
      <c r="F135" s="4"/>
      <c r="G135" s="4"/>
      <c r="H135" s="4"/>
      <c r="I135" s="4"/>
      <c r="J135" s="4"/>
      <c r="K135" s="4"/>
      <c r="L135" s="20"/>
      <c r="M135" s="4"/>
      <c r="N135" s="4"/>
      <c r="O135" s="5"/>
      <c r="P135" s="5"/>
      <c r="Q135" s="5"/>
      <c r="R135" s="5"/>
      <c r="S135" s="5"/>
      <c r="T135" s="5"/>
      <c r="U135" s="5"/>
      <c r="V135" s="5"/>
      <c r="W135" s="5"/>
      <c r="X135" s="5"/>
      <c r="Y135" s="5"/>
      <c r="Z135" s="5"/>
      <c r="AA135" s="5"/>
      <c r="AB135" s="5"/>
      <c r="AC135" s="5"/>
      <c r="AD135" s="5"/>
      <c r="AE135" s="5"/>
      <c r="AF135" s="5"/>
      <c r="AG135" s="5"/>
    </row>
  </sheetData>
  <autoFilter ref="A1:AG132"/>
  <sortState ref="A2:AA117">
    <sortCondition ref="C2:C117"/>
    <sortCondition ref="B2:B117"/>
  </sortState>
  <dataValidations count="2">
    <dataValidation type="list" allowBlank="1" showInputMessage="1" showErrorMessage="1" sqref="C2:C1048576">
      <formula1>Soort</formula1>
    </dataValidation>
    <dataValidation type="list" allowBlank="1" showInputMessage="1" showErrorMessage="1" sqref="G2:G1048576">
      <formula1>status</formula1>
    </dataValidation>
  </dataValidations>
  <pageMargins left="0.70866141732283472" right="0.70866141732283472" top="0.74803149606299213" bottom="0.74803149606299213" header="0.31496062992125984" footer="0.31496062992125984"/>
  <pageSetup paperSize="9" scale="5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R146"/>
  <sheetViews>
    <sheetView showGridLines="0" zoomScale="70" zoomScaleNormal="70" workbookViewId="0">
      <selection activeCell="V128" sqref="V128"/>
    </sheetView>
  </sheetViews>
  <sheetFormatPr defaultColWidth="8.85546875" defaultRowHeight="18.75" x14ac:dyDescent="0.3"/>
  <cols>
    <col min="1" max="1" width="13.140625" style="23" customWidth="1"/>
    <col min="2" max="2" width="22.85546875" style="23" hidden="1" customWidth="1"/>
    <col min="3" max="3" width="21.85546875" style="23" hidden="1" customWidth="1"/>
    <col min="4" max="4" width="54.5703125" style="23" customWidth="1"/>
    <col min="5" max="5" width="8.85546875" style="30" customWidth="1"/>
    <col min="6" max="17" width="9" style="29" customWidth="1"/>
    <col min="18" max="28" width="9" style="23" customWidth="1"/>
    <col min="29" max="16384" width="8.85546875" style="23"/>
  </cols>
  <sheetData>
    <row r="1" spans="1:18" ht="18.600000000000001" x14ac:dyDescent="0.45">
      <c r="A1" s="26" t="s">
        <v>220</v>
      </c>
      <c r="B1" s="26" t="s">
        <v>200</v>
      </c>
      <c r="C1" s="26" t="s">
        <v>201</v>
      </c>
      <c r="D1" s="45" t="s">
        <v>385</v>
      </c>
      <c r="E1" s="31" t="s">
        <v>204</v>
      </c>
      <c r="F1" s="27">
        <v>43466</v>
      </c>
      <c r="G1" s="27">
        <v>43497</v>
      </c>
      <c r="H1" s="27">
        <v>43525</v>
      </c>
      <c r="I1" s="27">
        <v>43556</v>
      </c>
      <c r="J1" s="27">
        <v>43586</v>
      </c>
      <c r="K1" s="27">
        <v>43617</v>
      </c>
      <c r="L1" s="27">
        <v>43647</v>
      </c>
      <c r="M1" s="27">
        <v>43678</v>
      </c>
      <c r="N1" s="27">
        <v>43709</v>
      </c>
      <c r="O1" s="27">
        <v>43739</v>
      </c>
      <c r="P1" s="27">
        <v>43770</v>
      </c>
      <c r="Q1" s="27">
        <v>43800</v>
      </c>
      <c r="R1" s="22"/>
    </row>
    <row r="2" spans="1:18" ht="18.600000000000001" x14ac:dyDescent="0.45">
      <c r="A2" s="46" t="s">
        <v>206</v>
      </c>
      <c r="B2" s="47">
        <v>43525</v>
      </c>
      <c r="C2" s="47">
        <v>43647</v>
      </c>
      <c r="D2" s="49" t="s">
        <v>226</v>
      </c>
      <c r="E2" s="32" t="str">
        <f t="shared" ref="E2:E65" si="0">IF(A2="Live","Is Live", IF(A2="R&amp;D", "Onderzoek", IF(A2="Planned","Gepland","")))</f>
        <v/>
      </c>
      <c r="F2" s="28" t="str">
        <f t="shared" ref="F2:F33" si="1">IF(AND($F$1&gt;=$B2,$F$1&lt;$C2),$A2, "onwaar")</f>
        <v>onwaar</v>
      </c>
      <c r="G2" s="28" t="str">
        <f t="shared" ref="G2:G33" si="2">IF(AND($G$1&gt;=$B2,$G$1&lt;$C2),$A2, "onwaar")</f>
        <v>onwaar</v>
      </c>
      <c r="H2" s="28" t="str">
        <f t="shared" ref="H2:H33" si="3">IF(AND($H$1&gt;=$B2,$H$1&lt;$C2),$A2, "onwaar")</f>
        <v>Doing</v>
      </c>
      <c r="I2" s="28" t="str">
        <f t="shared" ref="I2:I33" si="4">IF(AND($I$1&gt;=$B2,$I$1&lt;$C2),$A2, "onwaar")</f>
        <v>Doing</v>
      </c>
      <c r="J2" s="28" t="str">
        <f t="shared" ref="J2:J33" si="5">IF(AND($J$1&gt;=$B2,$J$1&lt;$C2),$A2, "onwaar")</f>
        <v>Doing</v>
      </c>
      <c r="K2" s="28" t="str">
        <f t="shared" ref="K2:K33" si="6">IF(AND($K$1&gt;=$B2,$K$1&lt;$C2),$A2, "onwaar")</f>
        <v>Doing</v>
      </c>
      <c r="L2" s="28" t="str">
        <f t="shared" ref="L2:L33" si="7">IF(AND($L$1&gt;=$B2,$L$1&lt;$C2),$A2, "onwaar")</f>
        <v>onwaar</v>
      </c>
      <c r="M2" s="28" t="str">
        <f t="shared" ref="M2:M33" si="8">IF(AND($M$1&gt;=$B2,$M$1&lt;$C2),$A2, "onwaar")</f>
        <v>onwaar</v>
      </c>
      <c r="N2" s="28" t="str">
        <f t="shared" ref="N2:N33" si="9">IF(AND($N$1&gt;=$B2,$N$1&lt;$C2),$A2, "onwaar")</f>
        <v>onwaar</v>
      </c>
      <c r="O2" s="28" t="str">
        <f t="shared" ref="O2:O33" si="10">IF(AND($O$1&gt;=$B2,$O$1&lt;$C2),$A2, "onwaar")</f>
        <v>onwaar</v>
      </c>
      <c r="P2" s="28" t="str">
        <f t="shared" ref="P2:P33" si="11">IF(AND($P$1&gt;=$B2,$P$1&lt;$C2),$A2, "onwaar")</f>
        <v>onwaar</v>
      </c>
      <c r="Q2" s="28" t="str">
        <f t="shared" ref="Q2:Q33" si="12">IF(AND($Q$1&gt;=$B2,$Q$1&lt;$C2),$A2, "onwaar")</f>
        <v>onwaar</v>
      </c>
      <c r="R2" s="22"/>
    </row>
    <row r="3" spans="1:18" ht="18.600000000000001" x14ac:dyDescent="0.45">
      <c r="A3" s="46" t="s">
        <v>206</v>
      </c>
      <c r="B3" s="47">
        <v>43525</v>
      </c>
      <c r="C3" s="47">
        <v>43647</v>
      </c>
      <c r="D3" s="49" t="s">
        <v>229</v>
      </c>
      <c r="E3" s="32" t="str">
        <f t="shared" si="0"/>
        <v/>
      </c>
      <c r="F3" s="28" t="str">
        <f t="shared" si="1"/>
        <v>onwaar</v>
      </c>
      <c r="G3" s="28" t="str">
        <f t="shared" si="2"/>
        <v>onwaar</v>
      </c>
      <c r="H3" s="28" t="str">
        <f t="shared" si="3"/>
        <v>Doing</v>
      </c>
      <c r="I3" s="28" t="str">
        <f t="shared" si="4"/>
        <v>Doing</v>
      </c>
      <c r="J3" s="28" t="str">
        <f t="shared" si="5"/>
        <v>Doing</v>
      </c>
      <c r="K3" s="28" t="str">
        <f t="shared" si="6"/>
        <v>Doing</v>
      </c>
      <c r="L3" s="28" t="str">
        <f t="shared" si="7"/>
        <v>onwaar</v>
      </c>
      <c r="M3" s="28" t="str">
        <f t="shared" si="8"/>
        <v>onwaar</v>
      </c>
      <c r="N3" s="28" t="str">
        <f t="shared" si="9"/>
        <v>onwaar</v>
      </c>
      <c r="O3" s="28" t="str">
        <f t="shared" si="10"/>
        <v>onwaar</v>
      </c>
      <c r="P3" s="28" t="str">
        <f t="shared" si="11"/>
        <v>onwaar</v>
      </c>
      <c r="Q3" s="28" t="str">
        <f t="shared" si="12"/>
        <v>onwaar</v>
      </c>
      <c r="R3" s="22"/>
    </row>
    <row r="4" spans="1:18" ht="18.600000000000001" x14ac:dyDescent="0.45">
      <c r="A4" s="46" t="s">
        <v>206</v>
      </c>
      <c r="B4" s="47">
        <v>43525</v>
      </c>
      <c r="C4" s="47">
        <v>43647</v>
      </c>
      <c r="D4" s="49" t="s">
        <v>391</v>
      </c>
      <c r="E4" s="32" t="str">
        <f t="shared" si="0"/>
        <v/>
      </c>
      <c r="F4" s="28" t="str">
        <f t="shared" si="1"/>
        <v>onwaar</v>
      </c>
      <c r="G4" s="28" t="str">
        <f t="shared" si="2"/>
        <v>onwaar</v>
      </c>
      <c r="H4" s="28" t="str">
        <f t="shared" si="3"/>
        <v>Doing</v>
      </c>
      <c r="I4" s="28" t="str">
        <f t="shared" si="4"/>
        <v>Doing</v>
      </c>
      <c r="J4" s="28" t="str">
        <f t="shared" si="5"/>
        <v>Doing</v>
      </c>
      <c r="K4" s="28" t="str">
        <f t="shared" si="6"/>
        <v>Doing</v>
      </c>
      <c r="L4" s="28" t="str">
        <f t="shared" si="7"/>
        <v>onwaar</v>
      </c>
      <c r="M4" s="28" t="str">
        <f t="shared" si="8"/>
        <v>onwaar</v>
      </c>
      <c r="N4" s="28" t="str">
        <f t="shared" si="9"/>
        <v>onwaar</v>
      </c>
      <c r="O4" s="28" t="str">
        <f t="shared" si="10"/>
        <v>onwaar</v>
      </c>
      <c r="P4" s="28" t="str">
        <f t="shared" si="11"/>
        <v>onwaar</v>
      </c>
      <c r="Q4" s="28" t="str">
        <f t="shared" si="12"/>
        <v>onwaar</v>
      </c>
      <c r="R4" s="22"/>
    </row>
    <row r="5" spans="1:18" ht="18.600000000000001" x14ac:dyDescent="0.45">
      <c r="A5" s="46" t="s">
        <v>206</v>
      </c>
      <c r="B5" s="47">
        <v>43525</v>
      </c>
      <c r="C5" s="47">
        <v>43647</v>
      </c>
      <c r="D5" s="49" t="s">
        <v>236</v>
      </c>
      <c r="E5" s="32" t="str">
        <f t="shared" si="0"/>
        <v/>
      </c>
      <c r="F5" s="28" t="str">
        <f t="shared" si="1"/>
        <v>onwaar</v>
      </c>
      <c r="G5" s="28" t="str">
        <f t="shared" si="2"/>
        <v>onwaar</v>
      </c>
      <c r="H5" s="28" t="str">
        <f t="shared" si="3"/>
        <v>Doing</v>
      </c>
      <c r="I5" s="28" t="str">
        <f t="shared" si="4"/>
        <v>Doing</v>
      </c>
      <c r="J5" s="28" t="str">
        <f t="shared" si="5"/>
        <v>Doing</v>
      </c>
      <c r="K5" s="28" t="str">
        <f t="shared" si="6"/>
        <v>Doing</v>
      </c>
      <c r="L5" s="28" t="str">
        <f t="shared" si="7"/>
        <v>onwaar</v>
      </c>
      <c r="M5" s="28" t="str">
        <f t="shared" si="8"/>
        <v>onwaar</v>
      </c>
      <c r="N5" s="28" t="str">
        <f t="shared" si="9"/>
        <v>onwaar</v>
      </c>
      <c r="O5" s="28" t="str">
        <f t="shared" si="10"/>
        <v>onwaar</v>
      </c>
      <c r="P5" s="28" t="str">
        <f t="shared" si="11"/>
        <v>onwaar</v>
      </c>
      <c r="Q5" s="28" t="str">
        <f t="shared" si="12"/>
        <v>onwaar</v>
      </c>
      <c r="R5" s="22"/>
    </row>
    <row r="6" spans="1:18" ht="18.600000000000001" x14ac:dyDescent="0.45">
      <c r="A6" s="46" t="s">
        <v>206</v>
      </c>
      <c r="B6" s="47">
        <v>43525</v>
      </c>
      <c r="C6" s="47">
        <v>43647</v>
      </c>
      <c r="D6" s="49" t="s">
        <v>237</v>
      </c>
      <c r="E6" s="32" t="str">
        <f t="shared" si="0"/>
        <v/>
      </c>
      <c r="F6" s="28" t="str">
        <f t="shared" si="1"/>
        <v>onwaar</v>
      </c>
      <c r="G6" s="28" t="str">
        <f t="shared" si="2"/>
        <v>onwaar</v>
      </c>
      <c r="H6" s="28" t="str">
        <f t="shared" si="3"/>
        <v>Doing</v>
      </c>
      <c r="I6" s="28" t="str">
        <f t="shared" si="4"/>
        <v>Doing</v>
      </c>
      <c r="J6" s="28" t="str">
        <f t="shared" si="5"/>
        <v>Doing</v>
      </c>
      <c r="K6" s="28" t="str">
        <f t="shared" si="6"/>
        <v>Doing</v>
      </c>
      <c r="L6" s="28" t="str">
        <f t="shared" si="7"/>
        <v>onwaar</v>
      </c>
      <c r="M6" s="28" t="str">
        <f t="shared" si="8"/>
        <v>onwaar</v>
      </c>
      <c r="N6" s="28" t="str">
        <f t="shared" si="9"/>
        <v>onwaar</v>
      </c>
      <c r="O6" s="28" t="str">
        <f t="shared" si="10"/>
        <v>onwaar</v>
      </c>
      <c r="P6" s="28" t="str">
        <f t="shared" si="11"/>
        <v>onwaar</v>
      </c>
      <c r="Q6" s="28" t="str">
        <f t="shared" si="12"/>
        <v>onwaar</v>
      </c>
      <c r="R6" s="22"/>
    </row>
    <row r="7" spans="1:18" ht="18.600000000000001" x14ac:dyDescent="0.45">
      <c r="A7" s="46" t="s">
        <v>206</v>
      </c>
      <c r="B7" s="47">
        <v>43525</v>
      </c>
      <c r="C7" s="47">
        <v>43647</v>
      </c>
      <c r="D7" s="49" t="s">
        <v>238</v>
      </c>
      <c r="E7" s="32" t="str">
        <f t="shared" si="0"/>
        <v/>
      </c>
      <c r="F7" s="28" t="str">
        <f t="shared" si="1"/>
        <v>onwaar</v>
      </c>
      <c r="G7" s="28" t="str">
        <f t="shared" si="2"/>
        <v>onwaar</v>
      </c>
      <c r="H7" s="28" t="str">
        <f t="shared" si="3"/>
        <v>Doing</v>
      </c>
      <c r="I7" s="28" t="str">
        <f t="shared" si="4"/>
        <v>Doing</v>
      </c>
      <c r="J7" s="28" t="str">
        <f t="shared" si="5"/>
        <v>Doing</v>
      </c>
      <c r="K7" s="28" t="str">
        <f t="shared" si="6"/>
        <v>Doing</v>
      </c>
      <c r="L7" s="28" t="str">
        <f t="shared" si="7"/>
        <v>onwaar</v>
      </c>
      <c r="M7" s="28" t="str">
        <f t="shared" si="8"/>
        <v>onwaar</v>
      </c>
      <c r="N7" s="28" t="str">
        <f t="shared" si="9"/>
        <v>onwaar</v>
      </c>
      <c r="O7" s="28" t="str">
        <f t="shared" si="10"/>
        <v>onwaar</v>
      </c>
      <c r="P7" s="28" t="str">
        <f t="shared" si="11"/>
        <v>onwaar</v>
      </c>
      <c r="Q7" s="28" t="str">
        <f t="shared" si="12"/>
        <v>onwaar</v>
      </c>
      <c r="R7" s="22"/>
    </row>
    <row r="8" spans="1:18" ht="18.600000000000001" x14ac:dyDescent="0.45">
      <c r="A8" s="46" t="s">
        <v>206</v>
      </c>
      <c r="B8" s="48">
        <v>43525</v>
      </c>
      <c r="C8" s="48">
        <v>43647</v>
      </c>
      <c r="D8" s="49" t="s">
        <v>239</v>
      </c>
      <c r="E8" s="32" t="str">
        <f t="shared" si="0"/>
        <v/>
      </c>
      <c r="F8" s="28" t="str">
        <f t="shared" si="1"/>
        <v>onwaar</v>
      </c>
      <c r="G8" s="28" t="str">
        <f t="shared" si="2"/>
        <v>onwaar</v>
      </c>
      <c r="H8" s="28" t="str">
        <f t="shared" si="3"/>
        <v>Doing</v>
      </c>
      <c r="I8" s="28" t="str">
        <f t="shared" si="4"/>
        <v>Doing</v>
      </c>
      <c r="J8" s="28" t="str">
        <f t="shared" si="5"/>
        <v>Doing</v>
      </c>
      <c r="K8" s="28" t="str">
        <f t="shared" si="6"/>
        <v>Doing</v>
      </c>
      <c r="L8" s="28" t="str">
        <f t="shared" si="7"/>
        <v>onwaar</v>
      </c>
      <c r="M8" s="28" t="str">
        <f t="shared" si="8"/>
        <v>onwaar</v>
      </c>
      <c r="N8" s="28" t="str">
        <f t="shared" si="9"/>
        <v>onwaar</v>
      </c>
      <c r="O8" s="28" t="str">
        <f t="shared" si="10"/>
        <v>onwaar</v>
      </c>
      <c r="P8" s="28" t="str">
        <f t="shared" si="11"/>
        <v>onwaar</v>
      </c>
      <c r="Q8" s="28" t="str">
        <f t="shared" si="12"/>
        <v>onwaar</v>
      </c>
      <c r="R8" s="22"/>
    </row>
    <row r="9" spans="1:18" ht="18.600000000000001" x14ac:dyDescent="0.45">
      <c r="A9" s="46" t="s">
        <v>206</v>
      </c>
      <c r="B9" s="49" t="s">
        <v>221</v>
      </c>
      <c r="C9" s="49" t="s">
        <v>221</v>
      </c>
      <c r="D9" s="49" t="s">
        <v>405</v>
      </c>
      <c r="E9" s="32" t="str">
        <f t="shared" si="0"/>
        <v/>
      </c>
      <c r="F9" s="28" t="str">
        <f t="shared" si="1"/>
        <v>onwaar</v>
      </c>
      <c r="G9" s="28" t="str">
        <f t="shared" si="2"/>
        <v>onwaar</v>
      </c>
      <c r="H9" s="28" t="str">
        <f t="shared" si="3"/>
        <v>onwaar</v>
      </c>
      <c r="I9" s="28" t="str">
        <f t="shared" si="4"/>
        <v>onwaar</v>
      </c>
      <c r="J9" s="28" t="str">
        <f t="shared" si="5"/>
        <v>onwaar</v>
      </c>
      <c r="K9" s="28" t="str">
        <f t="shared" si="6"/>
        <v>onwaar</v>
      </c>
      <c r="L9" s="28" t="str">
        <f t="shared" si="7"/>
        <v>onwaar</v>
      </c>
      <c r="M9" s="28" t="str">
        <f t="shared" si="8"/>
        <v>onwaar</v>
      </c>
      <c r="N9" s="28" t="str">
        <f t="shared" si="9"/>
        <v>onwaar</v>
      </c>
      <c r="O9" s="28" t="str">
        <f t="shared" si="10"/>
        <v>onwaar</v>
      </c>
      <c r="P9" s="28" t="str">
        <f t="shared" si="11"/>
        <v>onwaar</v>
      </c>
      <c r="Q9" s="28" t="str">
        <f t="shared" si="12"/>
        <v>onwaar</v>
      </c>
      <c r="R9" s="22"/>
    </row>
    <row r="10" spans="1:18" ht="18.600000000000001" x14ac:dyDescent="0.45">
      <c r="A10" s="46" t="s">
        <v>206</v>
      </c>
      <c r="B10" s="49" t="s">
        <v>221</v>
      </c>
      <c r="C10" s="49" t="s">
        <v>221</v>
      </c>
      <c r="D10" s="49" t="s">
        <v>292</v>
      </c>
      <c r="E10" s="32" t="str">
        <f t="shared" si="0"/>
        <v/>
      </c>
      <c r="F10" s="28" t="str">
        <f t="shared" si="1"/>
        <v>onwaar</v>
      </c>
      <c r="G10" s="28" t="str">
        <f t="shared" si="2"/>
        <v>onwaar</v>
      </c>
      <c r="H10" s="28" t="str">
        <f t="shared" si="3"/>
        <v>onwaar</v>
      </c>
      <c r="I10" s="28" t="str">
        <f t="shared" si="4"/>
        <v>onwaar</v>
      </c>
      <c r="J10" s="28" t="str">
        <f t="shared" si="5"/>
        <v>onwaar</v>
      </c>
      <c r="K10" s="28" t="str">
        <f t="shared" si="6"/>
        <v>onwaar</v>
      </c>
      <c r="L10" s="28" t="str">
        <f t="shared" si="7"/>
        <v>onwaar</v>
      </c>
      <c r="M10" s="28" t="str">
        <f t="shared" si="8"/>
        <v>onwaar</v>
      </c>
      <c r="N10" s="28" t="str">
        <f t="shared" si="9"/>
        <v>onwaar</v>
      </c>
      <c r="O10" s="28" t="str">
        <f t="shared" si="10"/>
        <v>onwaar</v>
      </c>
      <c r="P10" s="28" t="str">
        <f t="shared" si="11"/>
        <v>onwaar</v>
      </c>
      <c r="Q10" s="28" t="str">
        <f t="shared" si="12"/>
        <v>onwaar</v>
      </c>
      <c r="R10" s="22"/>
    </row>
    <row r="11" spans="1:18" ht="18.600000000000001" x14ac:dyDescent="0.45">
      <c r="A11" s="46" t="s">
        <v>207</v>
      </c>
      <c r="B11" s="46" t="s">
        <v>221</v>
      </c>
      <c r="C11" s="46" t="s">
        <v>221</v>
      </c>
      <c r="D11" s="49" t="s">
        <v>248</v>
      </c>
      <c r="E11" s="32" t="str">
        <f t="shared" si="0"/>
        <v>Is Live</v>
      </c>
      <c r="F11" s="28" t="str">
        <f t="shared" si="1"/>
        <v>onwaar</v>
      </c>
      <c r="G11" s="28" t="str">
        <f t="shared" si="2"/>
        <v>onwaar</v>
      </c>
      <c r="H11" s="28" t="str">
        <f t="shared" si="3"/>
        <v>onwaar</v>
      </c>
      <c r="I11" s="28" t="str">
        <f t="shared" si="4"/>
        <v>onwaar</v>
      </c>
      <c r="J11" s="28" t="str">
        <f t="shared" si="5"/>
        <v>onwaar</v>
      </c>
      <c r="K11" s="28" t="str">
        <f t="shared" si="6"/>
        <v>onwaar</v>
      </c>
      <c r="L11" s="28" t="str">
        <f t="shared" si="7"/>
        <v>onwaar</v>
      </c>
      <c r="M11" s="28" t="str">
        <f t="shared" si="8"/>
        <v>onwaar</v>
      </c>
      <c r="N11" s="28" t="str">
        <f t="shared" si="9"/>
        <v>onwaar</v>
      </c>
      <c r="O11" s="28" t="str">
        <f t="shared" si="10"/>
        <v>onwaar</v>
      </c>
      <c r="P11" s="28" t="str">
        <f t="shared" si="11"/>
        <v>onwaar</v>
      </c>
      <c r="Q11" s="28" t="str">
        <f t="shared" si="12"/>
        <v>onwaar</v>
      </c>
      <c r="R11" s="22"/>
    </row>
    <row r="12" spans="1:18" ht="18.600000000000001" x14ac:dyDescent="0.45">
      <c r="A12" s="46" t="s">
        <v>207</v>
      </c>
      <c r="B12" s="46" t="s">
        <v>221</v>
      </c>
      <c r="C12" s="46" t="s">
        <v>221</v>
      </c>
      <c r="D12" s="49" t="s">
        <v>253</v>
      </c>
      <c r="E12" s="32" t="str">
        <f t="shared" si="0"/>
        <v>Is Live</v>
      </c>
      <c r="F12" s="28" t="str">
        <f t="shared" si="1"/>
        <v>onwaar</v>
      </c>
      <c r="G12" s="28" t="str">
        <f t="shared" si="2"/>
        <v>onwaar</v>
      </c>
      <c r="H12" s="28" t="str">
        <f t="shared" si="3"/>
        <v>onwaar</v>
      </c>
      <c r="I12" s="28" t="str">
        <f t="shared" si="4"/>
        <v>onwaar</v>
      </c>
      <c r="J12" s="28" t="str">
        <f t="shared" si="5"/>
        <v>onwaar</v>
      </c>
      <c r="K12" s="28" t="str">
        <f t="shared" si="6"/>
        <v>onwaar</v>
      </c>
      <c r="L12" s="28" t="str">
        <f t="shared" si="7"/>
        <v>onwaar</v>
      </c>
      <c r="M12" s="28" t="str">
        <f t="shared" si="8"/>
        <v>onwaar</v>
      </c>
      <c r="N12" s="28" t="str">
        <f t="shared" si="9"/>
        <v>onwaar</v>
      </c>
      <c r="O12" s="28" t="str">
        <f t="shared" si="10"/>
        <v>onwaar</v>
      </c>
      <c r="P12" s="28" t="str">
        <f t="shared" si="11"/>
        <v>onwaar</v>
      </c>
      <c r="Q12" s="28" t="str">
        <f t="shared" si="12"/>
        <v>onwaar</v>
      </c>
      <c r="R12" s="22"/>
    </row>
    <row r="13" spans="1:18" ht="18.600000000000001" x14ac:dyDescent="0.45">
      <c r="A13" s="46" t="s">
        <v>207</v>
      </c>
      <c r="B13" s="46" t="s">
        <v>221</v>
      </c>
      <c r="C13" s="46" t="s">
        <v>221</v>
      </c>
      <c r="D13" s="49" t="s">
        <v>255</v>
      </c>
      <c r="E13" s="32" t="str">
        <f t="shared" si="0"/>
        <v>Is Live</v>
      </c>
      <c r="F13" s="28" t="str">
        <f t="shared" si="1"/>
        <v>onwaar</v>
      </c>
      <c r="G13" s="28" t="str">
        <f t="shared" si="2"/>
        <v>onwaar</v>
      </c>
      <c r="H13" s="28" t="str">
        <f t="shared" si="3"/>
        <v>onwaar</v>
      </c>
      <c r="I13" s="28" t="str">
        <f t="shared" si="4"/>
        <v>onwaar</v>
      </c>
      <c r="J13" s="28" t="str">
        <f t="shared" si="5"/>
        <v>onwaar</v>
      </c>
      <c r="K13" s="28" t="str">
        <f t="shared" si="6"/>
        <v>onwaar</v>
      </c>
      <c r="L13" s="28" t="str">
        <f t="shared" si="7"/>
        <v>onwaar</v>
      </c>
      <c r="M13" s="28" t="str">
        <f t="shared" si="8"/>
        <v>onwaar</v>
      </c>
      <c r="N13" s="28" t="str">
        <f t="shared" si="9"/>
        <v>onwaar</v>
      </c>
      <c r="O13" s="28" t="str">
        <f t="shared" si="10"/>
        <v>onwaar</v>
      </c>
      <c r="P13" s="28" t="str">
        <f t="shared" si="11"/>
        <v>onwaar</v>
      </c>
      <c r="Q13" s="28" t="str">
        <f t="shared" si="12"/>
        <v>onwaar</v>
      </c>
      <c r="R13" s="22"/>
    </row>
    <row r="14" spans="1:18" ht="18.600000000000001" x14ac:dyDescent="0.45">
      <c r="A14" s="46" t="s">
        <v>207</v>
      </c>
      <c r="B14" s="46" t="s">
        <v>221</v>
      </c>
      <c r="C14" s="46" t="s">
        <v>221</v>
      </c>
      <c r="D14" s="49" t="s">
        <v>257</v>
      </c>
      <c r="E14" s="32" t="str">
        <f t="shared" si="0"/>
        <v>Is Live</v>
      </c>
      <c r="F14" s="28" t="str">
        <f t="shared" si="1"/>
        <v>onwaar</v>
      </c>
      <c r="G14" s="28" t="str">
        <f t="shared" si="2"/>
        <v>onwaar</v>
      </c>
      <c r="H14" s="28" t="str">
        <f t="shared" si="3"/>
        <v>onwaar</v>
      </c>
      <c r="I14" s="28" t="str">
        <f t="shared" si="4"/>
        <v>onwaar</v>
      </c>
      <c r="J14" s="28" t="str">
        <f t="shared" si="5"/>
        <v>onwaar</v>
      </c>
      <c r="K14" s="28" t="str">
        <f t="shared" si="6"/>
        <v>onwaar</v>
      </c>
      <c r="L14" s="28" t="str">
        <f t="shared" si="7"/>
        <v>onwaar</v>
      </c>
      <c r="M14" s="28" t="str">
        <f t="shared" si="8"/>
        <v>onwaar</v>
      </c>
      <c r="N14" s="28" t="str">
        <f t="shared" si="9"/>
        <v>onwaar</v>
      </c>
      <c r="O14" s="28" t="str">
        <f t="shared" si="10"/>
        <v>onwaar</v>
      </c>
      <c r="P14" s="28" t="str">
        <f t="shared" si="11"/>
        <v>onwaar</v>
      </c>
      <c r="Q14" s="28" t="str">
        <f t="shared" si="12"/>
        <v>onwaar</v>
      </c>
      <c r="R14" s="22"/>
    </row>
    <row r="15" spans="1:18" ht="18.600000000000001" x14ac:dyDescent="0.45">
      <c r="A15" s="46" t="s">
        <v>207</v>
      </c>
      <c r="B15" s="46" t="s">
        <v>221</v>
      </c>
      <c r="C15" s="46" t="s">
        <v>221</v>
      </c>
      <c r="D15" s="49" t="s">
        <v>261</v>
      </c>
      <c r="E15" s="32" t="str">
        <f t="shared" si="0"/>
        <v>Is Live</v>
      </c>
      <c r="F15" s="28" t="str">
        <f t="shared" si="1"/>
        <v>onwaar</v>
      </c>
      <c r="G15" s="28" t="str">
        <f t="shared" si="2"/>
        <v>onwaar</v>
      </c>
      <c r="H15" s="28" t="str">
        <f t="shared" si="3"/>
        <v>onwaar</v>
      </c>
      <c r="I15" s="28" t="str">
        <f t="shared" si="4"/>
        <v>onwaar</v>
      </c>
      <c r="J15" s="28" t="str">
        <f t="shared" si="5"/>
        <v>onwaar</v>
      </c>
      <c r="K15" s="28" t="str">
        <f t="shared" si="6"/>
        <v>onwaar</v>
      </c>
      <c r="L15" s="28" t="str">
        <f t="shared" si="7"/>
        <v>onwaar</v>
      </c>
      <c r="M15" s="28" t="str">
        <f t="shared" si="8"/>
        <v>onwaar</v>
      </c>
      <c r="N15" s="28" t="str">
        <f t="shared" si="9"/>
        <v>onwaar</v>
      </c>
      <c r="O15" s="28" t="str">
        <f t="shared" si="10"/>
        <v>onwaar</v>
      </c>
      <c r="P15" s="28" t="str">
        <f t="shared" si="11"/>
        <v>onwaar</v>
      </c>
      <c r="Q15" s="28" t="str">
        <f t="shared" si="12"/>
        <v>onwaar</v>
      </c>
      <c r="R15" s="22"/>
    </row>
    <row r="16" spans="1:18" ht="18.600000000000001" x14ac:dyDescent="0.45">
      <c r="A16" s="46" t="s">
        <v>207</v>
      </c>
      <c r="B16" s="46" t="s">
        <v>221</v>
      </c>
      <c r="C16" s="46" t="s">
        <v>221</v>
      </c>
      <c r="D16" s="49" t="s">
        <v>263</v>
      </c>
      <c r="E16" s="32" t="str">
        <f t="shared" si="0"/>
        <v>Is Live</v>
      </c>
      <c r="F16" s="28" t="str">
        <f t="shared" si="1"/>
        <v>onwaar</v>
      </c>
      <c r="G16" s="28" t="str">
        <f t="shared" si="2"/>
        <v>onwaar</v>
      </c>
      <c r="H16" s="28" t="str">
        <f t="shared" si="3"/>
        <v>onwaar</v>
      </c>
      <c r="I16" s="28" t="str">
        <f t="shared" si="4"/>
        <v>onwaar</v>
      </c>
      <c r="J16" s="28" t="str">
        <f t="shared" si="5"/>
        <v>onwaar</v>
      </c>
      <c r="K16" s="28" t="str">
        <f t="shared" si="6"/>
        <v>onwaar</v>
      </c>
      <c r="L16" s="28" t="str">
        <f t="shared" si="7"/>
        <v>onwaar</v>
      </c>
      <c r="M16" s="28" t="str">
        <f t="shared" si="8"/>
        <v>onwaar</v>
      </c>
      <c r="N16" s="28" t="str">
        <f t="shared" si="9"/>
        <v>onwaar</v>
      </c>
      <c r="O16" s="28" t="str">
        <f t="shared" si="10"/>
        <v>onwaar</v>
      </c>
      <c r="P16" s="28" t="str">
        <f t="shared" si="11"/>
        <v>onwaar</v>
      </c>
      <c r="Q16" s="28" t="str">
        <f t="shared" si="12"/>
        <v>onwaar</v>
      </c>
      <c r="R16" s="22"/>
    </row>
    <row r="17" spans="1:18" ht="18.600000000000001" x14ac:dyDescent="0.45">
      <c r="A17" s="46" t="s">
        <v>207</v>
      </c>
      <c r="B17" s="46" t="s">
        <v>221</v>
      </c>
      <c r="C17" s="46" t="s">
        <v>221</v>
      </c>
      <c r="D17" s="49" t="s">
        <v>269</v>
      </c>
      <c r="E17" s="32" t="str">
        <f t="shared" si="0"/>
        <v>Is Live</v>
      </c>
      <c r="F17" s="28" t="str">
        <f t="shared" si="1"/>
        <v>onwaar</v>
      </c>
      <c r="G17" s="28" t="str">
        <f t="shared" si="2"/>
        <v>onwaar</v>
      </c>
      <c r="H17" s="28" t="str">
        <f t="shared" si="3"/>
        <v>onwaar</v>
      </c>
      <c r="I17" s="28" t="str">
        <f t="shared" si="4"/>
        <v>onwaar</v>
      </c>
      <c r="J17" s="28" t="str">
        <f t="shared" si="5"/>
        <v>onwaar</v>
      </c>
      <c r="K17" s="28" t="str">
        <f t="shared" si="6"/>
        <v>onwaar</v>
      </c>
      <c r="L17" s="28" t="str">
        <f t="shared" si="7"/>
        <v>onwaar</v>
      </c>
      <c r="M17" s="28" t="str">
        <f t="shared" si="8"/>
        <v>onwaar</v>
      </c>
      <c r="N17" s="28" t="str">
        <f t="shared" si="9"/>
        <v>onwaar</v>
      </c>
      <c r="O17" s="28" t="str">
        <f t="shared" si="10"/>
        <v>onwaar</v>
      </c>
      <c r="P17" s="28" t="str">
        <f t="shared" si="11"/>
        <v>onwaar</v>
      </c>
      <c r="Q17" s="28" t="str">
        <f t="shared" si="12"/>
        <v>onwaar</v>
      </c>
      <c r="R17" s="22"/>
    </row>
    <row r="18" spans="1:18" ht="18.600000000000001" x14ac:dyDescent="0.45">
      <c r="A18" s="46" t="s">
        <v>207</v>
      </c>
      <c r="B18" s="46" t="s">
        <v>221</v>
      </c>
      <c r="C18" s="46" t="s">
        <v>221</v>
      </c>
      <c r="D18" s="49" t="s">
        <v>270</v>
      </c>
      <c r="E18" s="32" t="str">
        <f t="shared" si="0"/>
        <v>Is Live</v>
      </c>
      <c r="F18" s="28" t="str">
        <f t="shared" si="1"/>
        <v>onwaar</v>
      </c>
      <c r="G18" s="28" t="str">
        <f t="shared" si="2"/>
        <v>onwaar</v>
      </c>
      <c r="H18" s="28" t="str">
        <f t="shared" si="3"/>
        <v>onwaar</v>
      </c>
      <c r="I18" s="28" t="str">
        <f t="shared" si="4"/>
        <v>onwaar</v>
      </c>
      <c r="J18" s="28" t="str">
        <f t="shared" si="5"/>
        <v>onwaar</v>
      </c>
      <c r="K18" s="28" t="str">
        <f t="shared" si="6"/>
        <v>onwaar</v>
      </c>
      <c r="L18" s="28" t="str">
        <f t="shared" si="7"/>
        <v>onwaar</v>
      </c>
      <c r="M18" s="28" t="str">
        <f t="shared" si="8"/>
        <v>onwaar</v>
      </c>
      <c r="N18" s="28" t="str">
        <f t="shared" si="9"/>
        <v>onwaar</v>
      </c>
      <c r="O18" s="28" t="str">
        <f t="shared" si="10"/>
        <v>onwaar</v>
      </c>
      <c r="P18" s="28" t="str">
        <f t="shared" si="11"/>
        <v>onwaar</v>
      </c>
      <c r="Q18" s="28" t="str">
        <f t="shared" si="12"/>
        <v>onwaar</v>
      </c>
      <c r="R18" s="22"/>
    </row>
    <row r="19" spans="1:18" ht="18.600000000000001" x14ac:dyDescent="0.45">
      <c r="A19" s="46" t="s">
        <v>207</v>
      </c>
      <c r="B19" s="46" t="s">
        <v>221</v>
      </c>
      <c r="C19" s="46" t="s">
        <v>221</v>
      </c>
      <c r="D19" s="49" t="s">
        <v>276</v>
      </c>
      <c r="E19" s="32" t="str">
        <f t="shared" si="0"/>
        <v>Is Live</v>
      </c>
      <c r="F19" s="28" t="str">
        <f t="shared" si="1"/>
        <v>onwaar</v>
      </c>
      <c r="G19" s="28" t="str">
        <f t="shared" si="2"/>
        <v>onwaar</v>
      </c>
      <c r="H19" s="28" t="str">
        <f t="shared" si="3"/>
        <v>onwaar</v>
      </c>
      <c r="I19" s="28" t="str">
        <f t="shared" si="4"/>
        <v>onwaar</v>
      </c>
      <c r="J19" s="28" t="str">
        <f t="shared" si="5"/>
        <v>onwaar</v>
      </c>
      <c r="K19" s="28" t="str">
        <f t="shared" si="6"/>
        <v>onwaar</v>
      </c>
      <c r="L19" s="28" t="str">
        <f t="shared" si="7"/>
        <v>onwaar</v>
      </c>
      <c r="M19" s="28" t="str">
        <f t="shared" si="8"/>
        <v>onwaar</v>
      </c>
      <c r="N19" s="28" t="str">
        <f t="shared" si="9"/>
        <v>onwaar</v>
      </c>
      <c r="O19" s="28" t="str">
        <f t="shared" si="10"/>
        <v>onwaar</v>
      </c>
      <c r="P19" s="28" t="str">
        <f t="shared" si="11"/>
        <v>onwaar</v>
      </c>
      <c r="Q19" s="28" t="str">
        <f t="shared" si="12"/>
        <v>onwaar</v>
      </c>
      <c r="R19" s="22"/>
    </row>
    <row r="20" spans="1:18" ht="18.600000000000001" x14ac:dyDescent="0.45">
      <c r="A20" s="46" t="s">
        <v>207</v>
      </c>
      <c r="B20" s="46" t="s">
        <v>221</v>
      </c>
      <c r="C20" s="46" t="s">
        <v>221</v>
      </c>
      <c r="D20" s="49" t="s">
        <v>296</v>
      </c>
      <c r="E20" s="32" t="str">
        <f t="shared" si="0"/>
        <v>Is Live</v>
      </c>
      <c r="F20" s="28" t="str">
        <f t="shared" si="1"/>
        <v>onwaar</v>
      </c>
      <c r="G20" s="28" t="str">
        <f t="shared" si="2"/>
        <v>onwaar</v>
      </c>
      <c r="H20" s="28" t="str">
        <f t="shared" si="3"/>
        <v>onwaar</v>
      </c>
      <c r="I20" s="28" t="str">
        <f t="shared" si="4"/>
        <v>onwaar</v>
      </c>
      <c r="J20" s="28" t="str">
        <f t="shared" si="5"/>
        <v>onwaar</v>
      </c>
      <c r="K20" s="28" t="str">
        <f t="shared" si="6"/>
        <v>onwaar</v>
      </c>
      <c r="L20" s="28" t="str">
        <f t="shared" si="7"/>
        <v>onwaar</v>
      </c>
      <c r="M20" s="28" t="str">
        <f t="shared" si="8"/>
        <v>onwaar</v>
      </c>
      <c r="N20" s="28" t="str">
        <f t="shared" si="9"/>
        <v>onwaar</v>
      </c>
      <c r="O20" s="28" t="str">
        <f t="shared" si="10"/>
        <v>onwaar</v>
      </c>
      <c r="P20" s="28" t="str">
        <f t="shared" si="11"/>
        <v>onwaar</v>
      </c>
      <c r="Q20" s="28" t="str">
        <f t="shared" si="12"/>
        <v>onwaar</v>
      </c>
      <c r="R20" s="22"/>
    </row>
    <row r="21" spans="1:18" ht="18.600000000000001" x14ac:dyDescent="0.45">
      <c r="A21" s="46" t="s">
        <v>207</v>
      </c>
      <c r="B21" s="46" t="s">
        <v>221</v>
      </c>
      <c r="C21" s="46" t="s">
        <v>221</v>
      </c>
      <c r="D21" s="49" t="s">
        <v>297</v>
      </c>
      <c r="E21" s="32" t="str">
        <f t="shared" si="0"/>
        <v>Is Live</v>
      </c>
      <c r="F21" s="28" t="str">
        <f t="shared" si="1"/>
        <v>onwaar</v>
      </c>
      <c r="G21" s="28" t="str">
        <f t="shared" si="2"/>
        <v>onwaar</v>
      </c>
      <c r="H21" s="28" t="str">
        <f t="shared" si="3"/>
        <v>onwaar</v>
      </c>
      <c r="I21" s="28" t="str">
        <f t="shared" si="4"/>
        <v>onwaar</v>
      </c>
      <c r="J21" s="28" t="str">
        <f t="shared" si="5"/>
        <v>onwaar</v>
      </c>
      <c r="K21" s="28" t="str">
        <f t="shared" si="6"/>
        <v>onwaar</v>
      </c>
      <c r="L21" s="28" t="str">
        <f t="shared" si="7"/>
        <v>onwaar</v>
      </c>
      <c r="M21" s="28" t="str">
        <f t="shared" si="8"/>
        <v>onwaar</v>
      </c>
      <c r="N21" s="28" t="str">
        <f t="shared" si="9"/>
        <v>onwaar</v>
      </c>
      <c r="O21" s="28" t="str">
        <f t="shared" si="10"/>
        <v>onwaar</v>
      </c>
      <c r="P21" s="28" t="str">
        <f t="shared" si="11"/>
        <v>onwaar</v>
      </c>
      <c r="Q21" s="28" t="str">
        <f t="shared" si="12"/>
        <v>onwaar</v>
      </c>
      <c r="R21" s="22"/>
    </row>
    <row r="22" spans="1:18" ht="18.600000000000001" x14ac:dyDescent="0.45">
      <c r="A22" s="46" t="s">
        <v>207</v>
      </c>
      <c r="B22" s="46" t="s">
        <v>221</v>
      </c>
      <c r="C22" s="46" t="s">
        <v>221</v>
      </c>
      <c r="D22" s="49" t="s">
        <v>298</v>
      </c>
      <c r="E22" s="32" t="str">
        <f t="shared" si="0"/>
        <v>Is Live</v>
      </c>
      <c r="F22" s="28" t="str">
        <f t="shared" si="1"/>
        <v>onwaar</v>
      </c>
      <c r="G22" s="28" t="str">
        <f t="shared" si="2"/>
        <v>onwaar</v>
      </c>
      <c r="H22" s="28" t="str">
        <f t="shared" si="3"/>
        <v>onwaar</v>
      </c>
      <c r="I22" s="28" t="str">
        <f t="shared" si="4"/>
        <v>onwaar</v>
      </c>
      <c r="J22" s="28" t="str">
        <f t="shared" si="5"/>
        <v>onwaar</v>
      </c>
      <c r="K22" s="28" t="str">
        <f t="shared" si="6"/>
        <v>onwaar</v>
      </c>
      <c r="L22" s="28" t="str">
        <f t="shared" si="7"/>
        <v>onwaar</v>
      </c>
      <c r="M22" s="28" t="str">
        <f t="shared" si="8"/>
        <v>onwaar</v>
      </c>
      <c r="N22" s="28" t="str">
        <f t="shared" si="9"/>
        <v>onwaar</v>
      </c>
      <c r="O22" s="28" t="str">
        <f t="shared" si="10"/>
        <v>onwaar</v>
      </c>
      <c r="P22" s="28" t="str">
        <f t="shared" si="11"/>
        <v>onwaar</v>
      </c>
      <c r="Q22" s="28" t="str">
        <f t="shared" si="12"/>
        <v>onwaar</v>
      </c>
      <c r="R22" s="22"/>
    </row>
    <row r="23" spans="1:18" ht="18.600000000000001" x14ac:dyDescent="0.45">
      <c r="A23" s="46" t="s">
        <v>207</v>
      </c>
      <c r="B23" s="46" t="s">
        <v>221</v>
      </c>
      <c r="C23" s="46" t="s">
        <v>221</v>
      </c>
      <c r="D23" s="49" t="s">
        <v>324</v>
      </c>
      <c r="E23" s="32" t="str">
        <f t="shared" si="0"/>
        <v>Is Live</v>
      </c>
      <c r="F23" s="28" t="str">
        <f t="shared" si="1"/>
        <v>onwaar</v>
      </c>
      <c r="G23" s="28" t="str">
        <f t="shared" si="2"/>
        <v>onwaar</v>
      </c>
      <c r="H23" s="28" t="str">
        <f t="shared" si="3"/>
        <v>onwaar</v>
      </c>
      <c r="I23" s="28" t="str">
        <f t="shared" si="4"/>
        <v>onwaar</v>
      </c>
      <c r="J23" s="28" t="str">
        <f t="shared" si="5"/>
        <v>onwaar</v>
      </c>
      <c r="K23" s="28" t="str">
        <f t="shared" si="6"/>
        <v>onwaar</v>
      </c>
      <c r="L23" s="28" t="str">
        <f t="shared" si="7"/>
        <v>onwaar</v>
      </c>
      <c r="M23" s="28" t="str">
        <f t="shared" si="8"/>
        <v>onwaar</v>
      </c>
      <c r="N23" s="28" t="str">
        <f t="shared" si="9"/>
        <v>onwaar</v>
      </c>
      <c r="O23" s="28" t="str">
        <f t="shared" si="10"/>
        <v>onwaar</v>
      </c>
      <c r="P23" s="28" t="str">
        <f t="shared" si="11"/>
        <v>onwaar</v>
      </c>
      <c r="Q23" s="28" t="str">
        <f t="shared" si="12"/>
        <v>onwaar</v>
      </c>
      <c r="R23" s="22"/>
    </row>
    <row r="24" spans="1:18" ht="18.600000000000001" x14ac:dyDescent="0.45">
      <c r="A24" s="46" t="s">
        <v>207</v>
      </c>
      <c r="B24" s="46" t="s">
        <v>221</v>
      </c>
      <c r="C24" s="46" t="s">
        <v>221</v>
      </c>
      <c r="D24" s="49" t="s">
        <v>329</v>
      </c>
      <c r="E24" s="32" t="str">
        <f t="shared" si="0"/>
        <v>Is Live</v>
      </c>
      <c r="F24" s="28" t="str">
        <f t="shared" si="1"/>
        <v>onwaar</v>
      </c>
      <c r="G24" s="28" t="str">
        <f t="shared" si="2"/>
        <v>onwaar</v>
      </c>
      <c r="H24" s="28" t="str">
        <f t="shared" si="3"/>
        <v>onwaar</v>
      </c>
      <c r="I24" s="28" t="str">
        <f t="shared" si="4"/>
        <v>onwaar</v>
      </c>
      <c r="J24" s="28" t="str">
        <f t="shared" si="5"/>
        <v>onwaar</v>
      </c>
      <c r="K24" s="28" t="str">
        <f t="shared" si="6"/>
        <v>onwaar</v>
      </c>
      <c r="L24" s="28" t="str">
        <f t="shared" si="7"/>
        <v>onwaar</v>
      </c>
      <c r="M24" s="28" t="str">
        <f t="shared" si="8"/>
        <v>onwaar</v>
      </c>
      <c r="N24" s="28" t="str">
        <f t="shared" si="9"/>
        <v>onwaar</v>
      </c>
      <c r="O24" s="28" t="str">
        <f t="shared" si="10"/>
        <v>onwaar</v>
      </c>
      <c r="P24" s="28" t="str">
        <f t="shared" si="11"/>
        <v>onwaar</v>
      </c>
      <c r="Q24" s="28" t="str">
        <f t="shared" si="12"/>
        <v>onwaar</v>
      </c>
      <c r="R24" s="22"/>
    </row>
    <row r="25" spans="1:18" ht="18.600000000000001" x14ac:dyDescent="0.45">
      <c r="A25" s="46" t="s">
        <v>207</v>
      </c>
      <c r="B25" s="46" t="s">
        <v>221</v>
      </c>
      <c r="C25" s="46" t="s">
        <v>221</v>
      </c>
      <c r="D25" s="49" t="s">
        <v>330</v>
      </c>
      <c r="E25" s="32" t="str">
        <f t="shared" si="0"/>
        <v>Is Live</v>
      </c>
      <c r="F25" s="28" t="str">
        <f t="shared" si="1"/>
        <v>onwaar</v>
      </c>
      <c r="G25" s="28" t="str">
        <f t="shared" si="2"/>
        <v>onwaar</v>
      </c>
      <c r="H25" s="28" t="str">
        <f t="shared" si="3"/>
        <v>onwaar</v>
      </c>
      <c r="I25" s="28" t="str">
        <f t="shared" si="4"/>
        <v>onwaar</v>
      </c>
      <c r="J25" s="28" t="str">
        <f t="shared" si="5"/>
        <v>onwaar</v>
      </c>
      <c r="K25" s="28" t="str">
        <f t="shared" si="6"/>
        <v>onwaar</v>
      </c>
      <c r="L25" s="28" t="str">
        <f t="shared" si="7"/>
        <v>onwaar</v>
      </c>
      <c r="M25" s="28" t="str">
        <f t="shared" si="8"/>
        <v>onwaar</v>
      </c>
      <c r="N25" s="28" t="str">
        <f t="shared" si="9"/>
        <v>onwaar</v>
      </c>
      <c r="O25" s="28" t="str">
        <f t="shared" si="10"/>
        <v>onwaar</v>
      </c>
      <c r="P25" s="28" t="str">
        <f t="shared" si="11"/>
        <v>onwaar</v>
      </c>
      <c r="Q25" s="28" t="str">
        <f t="shared" si="12"/>
        <v>onwaar</v>
      </c>
      <c r="R25" s="22"/>
    </row>
    <row r="26" spans="1:18" ht="18.600000000000001" x14ac:dyDescent="0.45">
      <c r="A26" s="46" t="s">
        <v>207</v>
      </c>
      <c r="B26" s="46" t="s">
        <v>221</v>
      </c>
      <c r="C26" s="46" t="s">
        <v>221</v>
      </c>
      <c r="D26" s="49" t="s">
        <v>331</v>
      </c>
      <c r="E26" s="32" t="str">
        <f t="shared" si="0"/>
        <v>Is Live</v>
      </c>
      <c r="F26" s="28" t="str">
        <f t="shared" si="1"/>
        <v>onwaar</v>
      </c>
      <c r="G26" s="28" t="str">
        <f t="shared" si="2"/>
        <v>onwaar</v>
      </c>
      <c r="H26" s="28" t="str">
        <f t="shared" si="3"/>
        <v>onwaar</v>
      </c>
      <c r="I26" s="28" t="str">
        <f t="shared" si="4"/>
        <v>onwaar</v>
      </c>
      <c r="J26" s="28" t="str">
        <f t="shared" si="5"/>
        <v>onwaar</v>
      </c>
      <c r="K26" s="28" t="str">
        <f t="shared" si="6"/>
        <v>onwaar</v>
      </c>
      <c r="L26" s="28" t="str">
        <f t="shared" si="7"/>
        <v>onwaar</v>
      </c>
      <c r="M26" s="28" t="str">
        <f t="shared" si="8"/>
        <v>onwaar</v>
      </c>
      <c r="N26" s="28" t="str">
        <f t="shared" si="9"/>
        <v>onwaar</v>
      </c>
      <c r="O26" s="28" t="str">
        <f t="shared" si="10"/>
        <v>onwaar</v>
      </c>
      <c r="P26" s="28" t="str">
        <f t="shared" si="11"/>
        <v>onwaar</v>
      </c>
      <c r="Q26" s="28" t="str">
        <f t="shared" si="12"/>
        <v>onwaar</v>
      </c>
      <c r="R26" s="22"/>
    </row>
    <row r="27" spans="1:18" ht="18.600000000000001" x14ac:dyDescent="0.45">
      <c r="A27" s="46" t="s">
        <v>207</v>
      </c>
      <c r="B27" s="46" t="s">
        <v>221</v>
      </c>
      <c r="C27" s="46" t="s">
        <v>221</v>
      </c>
      <c r="D27" s="49" t="s">
        <v>332</v>
      </c>
      <c r="E27" s="32" t="str">
        <f t="shared" si="0"/>
        <v>Is Live</v>
      </c>
      <c r="F27" s="28" t="str">
        <f t="shared" si="1"/>
        <v>onwaar</v>
      </c>
      <c r="G27" s="28" t="str">
        <f t="shared" si="2"/>
        <v>onwaar</v>
      </c>
      <c r="H27" s="28" t="str">
        <f t="shared" si="3"/>
        <v>onwaar</v>
      </c>
      <c r="I27" s="28" t="str">
        <f t="shared" si="4"/>
        <v>onwaar</v>
      </c>
      <c r="J27" s="28" t="str">
        <f t="shared" si="5"/>
        <v>onwaar</v>
      </c>
      <c r="K27" s="28" t="str">
        <f t="shared" si="6"/>
        <v>onwaar</v>
      </c>
      <c r="L27" s="28" t="str">
        <f t="shared" si="7"/>
        <v>onwaar</v>
      </c>
      <c r="M27" s="28" t="str">
        <f t="shared" si="8"/>
        <v>onwaar</v>
      </c>
      <c r="N27" s="28" t="str">
        <f t="shared" si="9"/>
        <v>onwaar</v>
      </c>
      <c r="O27" s="28" t="str">
        <f t="shared" si="10"/>
        <v>onwaar</v>
      </c>
      <c r="P27" s="28" t="str">
        <f t="shared" si="11"/>
        <v>onwaar</v>
      </c>
      <c r="Q27" s="28" t="str">
        <f t="shared" si="12"/>
        <v>onwaar</v>
      </c>
      <c r="R27" s="22"/>
    </row>
    <row r="28" spans="1:18" ht="18.600000000000001" x14ac:dyDescent="0.45">
      <c r="A28" s="46" t="s">
        <v>207</v>
      </c>
      <c r="B28" s="46" t="s">
        <v>221</v>
      </c>
      <c r="C28" s="46" t="s">
        <v>221</v>
      </c>
      <c r="D28" s="49" t="s">
        <v>408</v>
      </c>
      <c r="E28" s="32" t="str">
        <f t="shared" si="0"/>
        <v>Is Live</v>
      </c>
      <c r="F28" s="28" t="str">
        <f t="shared" si="1"/>
        <v>onwaar</v>
      </c>
      <c r="G28" s="28" t="str">
        <f t="shared" si="2"/>
        <v>onwaar</v>
      </c>
      <c r="H28" s="28" t="str">
        <f t="shared" si="3"/>
        <v>onwaar</v>
      </c>
      <c r="I28" s="28" t="str">
        <f t="shared" si="4"/>
        <v>onwaar</v>
      </c>
      <c r="J28" s="28" t="str">
        <f t="shared" si="5"/>
        <v>onwaar</v>
      </c>
      <c r="K28" s="28" t="str">
        <f t="shared" si="6"/>
        <v>onwaar</v>
      </c>
      <c r="L28" s="28" t="str">
        <f t="shared" si="7"/>
        <v>onwaar</v>
      </c>
      <c r="M28" s="28" t="str">
        <f t="shared" si="8"/>
        <v>onwaar</v>
      </c>
      <c r="N28" s="28" t="str">
        <f t="shared" si="9"/>
        <v>onwaar</v>
      </c>
      <c r="O28" s="28" t="str">
        <f t="shared" si="10"/>
        <v>onwaar</v>
      </c>
      <c r="P28" s="28" t="str">
        <f t="shared" si="11"/>
        <v>onwaar</v>
      </c>
      <c r="Q28" s="28" t="str">
        <f t="shared" si="12"/>
        <v>onwaar</v>
      </c>
      <c r="R28" s="22"/>
    </row>
    <row r="29" spans="1:18" ht="18.600000000000001" x14ac:dyDescent="0.45">
      <c r="A29" s="46" t="s">
        <v>207</v>
      </c>
      <c r="B29" s="50" t="s">
        <v>221</v>
      </c>
      <c r="C29" s="50" t="s">
        <v>221</v>
      </c>
      <c r="D29" s="49" t="s">
        <v>409</v>
      </c>
      <c r="E29" s="32" t="str">
        <f t="shared" si="0"/>
        <v>Is Live</v>
      </c>
      <c r="F29" s="28" t="str">
        <f t="shared" si="1"/>
        <v>onwaar</v>
      </c>
      <c r="G29" s="28" t="str">
        <f t="shared" si="2"/>
        <v>onwaar</v>
      </c>
      <c r="H29" s="28" t="str">
        <f t="shared" si="3"/>
        <v>onwaar</v>
      </c>
      <c r="I29" s="28" t="str">
        <f t="shared" si="4"/>
        <v>onwaar</v>
      </c>
      <c r="J29" s="28" t="str">
        <f t="shared" si="5"/>
        <v>onwaar</v>
      </c>
      <c r="K29" s="28" t="str">
        <f t="shared" si="6"/>
        <v>onwaar</v>
      </c>
      <c r="L29" s="28" t="str">
        <f t="shared" si="7"/>
        <v>onwaar</v>
      </c>
      <c r="M29" s="28" t="str">
        <f t="shared" si="8"/>
        <v>onwaar</v>
      </c>
      <c r="N29" s="28" t="str">
        <f t="shared" si="9"/>
        <v>onwaar</v>
      </c>
      <c r="O29" s="28" t="str">
        <f t="shared" si="10"/>
        <v>onwaar</v>
      </c>
      <c r="P29" s="28" t="str">
        <f t="shared" si="11"/>
        <v>onwaar</v>
      </c>
      <c r="Q29" s="28" t="str">
        <f t="shared" si="12"/>
        <v>onwaar</v>
      </c>
      <c r="R29" s="22"/>
    </row>
    <row r="30" spans="1:18" ht="18.600000000000001" x14ac:dyDescent="0.45">
      <c r="A30" s="46" t="s">
        <v>205</v>
      </c>
      <c r="B30" s="51">
        <v>43466</v>
      </c>
      <c r="C30" s="51">
        <v>43556</v>
      </c>
      <c r="D30" s="49" t="s">
        <v>227</v>
      </c>
      <c r="E30" s="32" t="str">
        <f t="shared" si="0"/>
        <v>Onderzoek</v>
      </c>
      <c r="F30" s="28" t="str">
        <f t="shared" si="1"/>
        <v>R&amp;D</v>
      </c>
      <c r="G30" s="28" t="str">
        <f t="shared" si="2"/>
        <v>R&amp;D</v>
      </c>
      <c r="H30" s="28" t="str">
        <f t="shared" si="3"/>
        <v>R&amp;D</v>
      </c>
      <c r="I30" s="28" t="str">
        <f t="shared" si="4"/>
        <v>onwaar</v>
      </c>
      <c r="J30" s="28" t="str">
        <f t="shared" si="5"/>
        <v>onwaar</v>
      </c>
      <c r="K30" s="28" t="str">
        <f t="shared" si="6"/>
        <v>onwaar</v>
      </c>
      <c r="L30" s="28" t="str">
        <f t="shared" si="7"/>
        <v>onwaar</v>
      </c>
      <c r="M30" s="28" t="str">
        <f t="shared" si="8"/>
        <v>onwaar</v>
      </c>
      <c r="N30" s="28" t="str">
        <f t="shared" si="9"/>
        <v>onwaar</v>
      </c>
      <c r="O30" s="28" t="str">
        <f t="shared" si="10"/>
        <v>onwaar</v>
      </c>
      <c r="P30" s="28" t="str">
        <f t="shared" si="11"/>
        <v>onwaar</v>
      </c>
      <c r="Q30" s="28" t="str">
        <f t="shared" si="12"/>
        <v>onwaar</v>
      </c>
      <c r="R30" s="22"/>
    </row>
    <row r="31" spans="1:18" ht="18.600000000000001" x14ac:dyDescent="0.45">
      <c r="A31" s="46" t="s">
        <v>205</v>
      </c>
      <c r="B31" s="51">
        <v>43525</v>
      </c>
      <c r="C31" s="51">
        <v>43617</v>
      </c>
      <c r="D31" s="49" t="s">
        <v>390</v>
      </c>
      <c r="E31" s="32" t="str">
        <f t="shared" si="0"/>
        <v>Onderzoek</v>
      </c>
      <c r="F31" s="28" t="str">
        <f t="shared" si="1"/>
        <v>onwaar</v>
      </c>
      <c r="G31" s="28" t="str">
        <f t="shared" si="2"/>
        <v>onwaar</v>
      </c>
      <c r="H31" s="28" t="str">
        <f t="shared" si="3"/>
        <v>R&amp;D</v>
      </c>
      <c r="I31" s="28" t="str">
        <f t="shared" si="4"/>
        <v>R&amp;D</v>
      </c>
      <c r="J31" s="28" t="str">
        <f t="shared" si="5"/>
        <v>R&amp;D</v>
      </c>
      <c r="K31" s="28" t="str">
        <f t="shared" si="6"/>
        <v>onwaar</v>
      </c>
      <c r="L31" s="28" t="str">
        <f t="shared" si="7"/>
        <v>onwaar</v>
      </c>
      <c r="M31" s="28" t="str">
        <f t="shared" si="8"/>
        <v>onwaar</v>
      </c>
      <c r="N31" s="28" t="str">
        <f t="shared" si="9"/>
        <v>onwaar</v>
      </c>
      <c r="O31" s="28" t="str">
        <f t="shared" si="10"/>
        <v>onwaar</v>
      </c>
      <c r="P31" s="28" t="str">
        <f t="shared" si="11"/>
        <v>onwaar</v>
      </c>
      <c r="Q31" s="28" t="str">
        <f t="shared" si="12"/>
        <v>onwaar</v>
      </c>
      <c r="R31" s="22"/>
    </row>
    <row r="32" spans="1:18" ht="18.600000000000001" x14ac:dyDescent="0.45">
      <c r="A32" s="46" t="s">
        <v>205</v>
      </c>
      <c r="B32" s="51">
        <v>43525</v>
      </c>
      <c r="C32" s="51">
        <v>43647</v>
      </c>
      <c r="D32" s="49" t="s">
        <v>228</v>
      </c>
      <c r="E32" s="32" t="str">
        <f t="shared" si="0"/>
        <v>Onderzoek</v>
      </c>
      <c r="F32" s="28" t="str">
        <f t="shared" si="1"/>
        <v>onwaar</v>
      </c>
      <c r="G32" s="28" t="str">
        <f t="shared" si="2"/>
        <v>onwaar</v>
      </c>
      <c r="H32" s="28" t="str">
        <f t="shared" si="3"/>
        <v>R&amp;D</v>
      </c>
      <c r="I32" s="28" t="str">
        <f t="shared" si="4"/>
        <v>R&amp;D</v>
      </c>
      <c r="J32" s="28" t="str">
        <f t="shared" si="5"/>
        <v>R&amp;D</v>
      </c>
      <c r="K32" s="28" t="str">
        <f t="shared" si="6"/>
        <v>R&amp;D</v>
      </c>
      <c r="L32" s="28" t="str">
        <f t="shared" si="7"/>
        <v>onwaar</v>
      </c>
      <c r="M32" s="28" t="str">
        <f t="shared" si="8"/>
        <v>onwaar</v>
      </c>
      <c r="N32" s="28" t="str">
        <f t="shared" si="9"/>
        <v>onwaar</v>
      </c>
      <c r="O32" s="28" t="str">
        <f t="shared" si="10"/>
        <v>onwaar</v>
      </c>
      <c r="P32" s="28" t="str">
        <f t="shared" si="11"/>
        <v>onwaar</v>
      </c>
      <c r="Q32" s="28" t="str">
        <f t="shared" si="12"/>
        <v>onwaar</v>
      </c>
      <c r="R32" s="22"/>
    </row>
    <row r="33" spans="1:18" ht="18.600000000000001" x14ac:dyDescent="0.45">
      <c r="A33" s="46" t="s">
        <v>205</v>
      </c>
      <c r="B33" s="51">
        <v>43525</v>
      </c>
      <c r="C33" s="51">
        <v>43647</v>
      </c>
      <c r="D33" s="49" t="s">
        <v>230</v>
      </c>
      <c r="E33" s="32" t="str">
        <f t="shared" si="0"/>
        <v>Onderzoek</v>
      </c>
      <c r="F33" s="28" t="str">
        <f t="shared" si="1"/>
        <v>onwaar</v>
      </c>
      <c r="G33" s="28" t="str">
        <f t="shared" si="2"/>
        <v>onwaar</v>
      </c>
      <c r="H33" s="28" t="str">
        <f t="shared" si="3"/>
        <v>R&amp;D</v>
      </c>
      <c r="I33" s="28" t="str">
        <f t="shared" si="4"/>
        <v>R&amp;D</v>
      </c>
      <c r="J33" s="28" t="str">
        <f t="shared" si="5"/>
        <v>R&amp;D</v>
      </c>
      <c r="K33" s="28" t="str">
        <f t="shared" si="6"/>
        <v>R&amp;D</v>
      </c>
      <c r="L33" s="28" t="str">
        <f t="shared" si="7"/>
        <v>onwaar</v>
      </c>
      <c r="M33" s="28" t="str">
        <f t="shared" si="8"/>
        <v>onwaar</v>
      </c>
      <c r="N33" s="28" t="str">
        <f t="shared" si="9"/>
        <v>onwaar</v>
      </c>
      <c r="O33" s="28" t="str">
        <f t="shared" si="10"/>
        <v>onwaar</v>
      </c>
      <c r="P33" s="28" t="str">
        <f t="shared" si="11"/>
        <v>onwaar</v>
      </c>
      <c r="Q33" s="28" t="str">
        <f t="shared" si="12"/>
        <v>onwaar</v>
      </c>
      <c r="R33" s="22"/>
    </row>
    <row r="34" spans="1:18" ht="18.600000000000001" x14ac:dyDescent="0.45">
      <c r="A34" s="46" t="s">
        <v>205</v>
      </c>
      <c r="B34" s="51">
        <v>43525</v>
      </c>
      <c r="C34" s="51">
        <v>43647</v>
      </c>
      <c r="D34" s="49" t="s">
        <v>231</v>
      </c>
      <c r="E34" s="32" t="str">
        <f t="shared" si="0"/>
        <v>Onderzoek</v>
      </c>
      <c r="F34" s="28" t="str">
        <f t="shared" ref="F34:F65" si="13">IF(AND($F$1&gt;=$B34,$F$1&lt;$C34),$A34, "onwaar")</f>
        <v>onwaar</v>
      </c>
      <c r="G34" s="28" t="str">
        <f t="shared" ref="G34:G65" si="14">IF(AND($G$1&gt;=$B34,$G$1&lt;$C34),$A34, "onwaar")</f>
        <v>onwaar</v>
      </c>
      <c r="H34" s="28" t="str">
        <f t="shared" ref="H34:H65" si="15">IF(AND($H$1&gt;=$B34,$H$1&lt;$C34),$A34, "onwaar")</f>
        <v>R&amp;D</v>
      </c>
      <c r="I34" s="28" t="str">
        <f t="shared" ref="I34:I65" si="16">IF(AND($I$1&gt;=$B34,$I$1&lt;$C34),$A34, "onwaar")</f>
        <v>R&amp;D</v>
      </c>
      <c r="J34" s="28" t="str">
        <f t="shared" ref="J34:J65" si="17">IF(AND($J$1&gt;=$B34,$J$1&lt;$C34),$A34, "onwaar")</f>
        <v>R&amp;D</v>
      </c>
      <c r="K34" s="28" t="str">
        <f t="shared" ref="K34:K65" si="18">IF(AND($K$1&gt;=$B34,$K$1&lt;$C34),$A34, "onwaar")</f>
        <v>R&amp;D</v>
      </c>
      <c r="L34" s="28" t="str">
        <f t="shared" ref="L34:L65" si="19">IF(AND($L$1&gt;=$B34,$L$1&lt;$C34),$A34, "onwaar")</f>
        <v>onwaar</v>
      </c>
      <c r="M34" s="28" t="str">
        <f t="shared" ref="M34:M65" si="20">IF(AND($M$1&gt;=$B34,$M$1&lt;$C34),$A34, "onwaar")</f>
        <v>onwaar</v>
      </c>
      <c r="N34" s="28" t="str">
        <f t="shared" ref="N34:N65" si="21">IF(AND($N$1&gt;=$B34,$N$1&lt;$C34),$A34, "onwaar")</f>
        <v>onwaar</v>
      </c>
      <c r="O34" s="28" t="str">
        <f t="shared" ref="O34:O65" si="22">IF(AND($O$1&gt;=$B34,$O$1&lt;$C34),$A34, "onwaar")</f>
        <v>onwaar</v>
      </c>
      <c r="P34" s="28" t="str">
        <f t="shared" ref="P34:P65" si="23">IF(AND($P$1&gt;=$B34,$P$1&lt;$C34),$A34, "onwaar")</f>
        <v>onwaar</v>
      </c>
      <c r="Q34" s="28" t="str">
        <f t="shared" ref="Q34:Q65" si="24">IF(AND($Q$1&gt;=$B34,$Q$1&lt;$C34),$A34, "onwaar")</f>
        <v>onwaar</v>
      </c>
      <c r="R34" s="22"/>
    </row>
    <row r="35" spans="1:18" ht="18.600000000000001" x14ac:dyDescent="0.45">
      <c r="A35" s="46" t="s">
        <v>205</v>
      </c>
      <c r="B35" s="51">
        <v>43525</v>
      </c>
      <c r="C35" s="51">
        <v>43647</v>
      </c>
      <c r="D35" s="49" t="s">
        <v>233</v>
      </c>
      <c r="E35" s="32" t="str">
        <f t="shared" si="0"/>
        <v>Onderzoek</v>
      </c>
      <c r="F35" s="28" t="str">
        <f t="shared" si="13"/>
        <v>onwaar</v>
      </c>
      <c r="G35" s="28" t="str">
        <f t="shared" si="14"/>
        <v>onwaar</v>
      </c>
      <c r="H35" s="28" t="str">
        <f t="shared" si="15"/>
        <v>R&amp;D</v>
      </c>
      <c r="I35" s="28" t="str">
        <f t="shared" si="16"/>
        <v>R&amp;D</v>
      </c>
      <c r="J35" s="28" t="str">
        <f t="shared" si="17"/>
        <v>R&amp;D</v>
      </c>
      <c r="K35" s="28" t="str">
        <f t="shared" si="18"/>
        <v>R&amp;D</v>
      </c>
      <c r="L35" s="28" t="str">
        <f t="shared" si="19"/>
        <v>onwaar</v>
      </c>
      <c r="M35" s="28" t="str">
        <f t="shared" si="20"/>
        <v>onwaar</v>
      </c>
      <c r="N35" s="28" t="str">
        <f t="shared" si="21"/>
        <v>onwaar</v>
      </c>
      <c r="O35" s="28" t="str">
        <f t="shared" si="22"/>
        <v>onwaar</v>
      </c>
      <c r="P35" s="28" t="str">
        <f t="shared" si="23"/>
        <v>onwaar</v>
      </c>
      <c r="Q35" s="28" t="str">
        <f t="shared" si="24"/>
        <v>onwaar</v>
      </c>
      <c r="R35" s="22"/>
    </row>
    <row r="36" spans="1:18" x14ac:dyDescent="0.3">
      <c r="A36" s="46" t="s">
        <v>205</v>
      </c>
      <c r="B36" s="51">
        <v>43525</v>
      </c>
      <c r="C36" s="51">
        <v>43647</v>
      </c>
      <c r="D36" s="49" t="s">
        <v>235</v>
      </c>
      <c r="E36" s="32" t="str">
        <f t="shared" si="0"/>
        <v>Onderzoek</v>
      </c>
      <c r="F36" s="28" t="str">
        <f t="shared" si="13"/>
        <v>onwaar</v>
      </c>
      <c r="G36" s="28" t="str">
        <f t="shared" si="14"/>
        <v>onwaar</v>
      </c>
      <c r="H36" s="28" t="str">
        <f t="shared" si="15"/>
        <v>R&amp;D</v>
      </c>
      <c r="I36" s="28" t="str">
        <f t="shared" si="16"/>
        <v>R&amp;D</v>
      </c>
      <c r="J36" s="28" t="str">
        <f t="shared" si="17"/>
        <v>R&amp;D</v>
      </c>
      <c r="K36" s="28" t="str">
        <f t="shared" si="18"/>
        <v>R&amp;D</v>
      </c>
      <c r="L36" s="28" t="str">
        <f t="shared" si="19"/>
        <v>onwaar</v>
      </c>
      <c r="M36" s="28" t="str">
        <f t="shared" si="20"/>
        <v>onwaar</v>
      </c>
      <c r="N36" s="28" t="str">
        <f t="shared" si="21"/>
        <v>onwaar</v>
      </c>
      <c r="O36" s="28" t="str">
        <f t="shared" si="22"/>
        <v>onwaar</v>
      </c>
      <c r="P36" s="28" t="str">
        <f t="shared" si="23"/>
        <v>onwaar</v>
      </c>
      <c r="Q36" s="28" t="str">
        <f t="shared" si="24"/>
        <v>onwaar</v>
      </c>
      <c r="R36" s="22"/>
    </row>
    <row r="37" spans="1:18" x14ac:dyDescent="0.3">
      <c r="A37" s="46" t="s">
        <v>205</v>
      </c>
      <c r="B37" s="49" t="s">
        <v>221</v>
      </c>
      <c r="C37" s="49" t="s">
        <v>221</v>
      </c>
      <c r="D37" s="49" t="s">
        <v>243</v>
      </c>
      <c r="E37" s="32" t="str">
        <f t="shared" si="0"/>
        <v>Onderzoek</v>
      </c>
      <c r="F37" s="28" t="str">
        <f t="shared" si="13"/>
        <v>onwaar</v>
      </c>
      <c r="G37" s="28" t="str">
        <f t="shared" si="14"/>
        <v>onwaar</v>
      </c>
      <c r="H37" s="28" t="str">
        <f t="shared" si="15"/>
        <v>onwaar</v>
      </c>
      <c r="I37" s="28" t="str">
        <f t="shared" si="16"/>
        <v>onwaar</v>
      </c>
      <c r="J37" s="28" t="str">
        <f t="shared" si="17"/>
        <v>onwaar</v>
      </c>
      <c r="K37" s="28" t="str">
        <f t="shared" si="18"/>
        <v>onwaar</v>
      </c>
      <c r="L37" s="28" t="str">
        <f t="shared" si="19"/>
        <v>onwaar</v>
      </c>
      <c r="M37" s="28" t="str">
        <f t="shared" si="20"/>
        <v>onwaar</v>
      </c>
      <c r="N37" s="28" t="str">
        <f t="shared" si="21"/>
        <v>onwaar</v>
      </c>
      <c r="O37" s="28" t="str">
        <f t="shared" si="22"/>
        <v>onwaar</v>
      </c>
      <c r="P37" s="28" t="str">
        <f t="shared" si="23"/>
        <v>onwaar</v>
      </c>
      <c r="Q37" s="28" t="str">
        <f t="shared" si="24"/>
        <v>onwaar</v>
      </c>
      <c r="R37" s="22"/>
    </row>
    <row r="38" spans="1:18" x14ac:dyDescent="0.3">
      <c r="A38" s="46" t="s">
        <v>205</v>
      </c>
      <c r="B38" s="49" t="s">
        <v>221</v>
      </c>
      <c r="C38" s="49" t="s">
        <v>221</v>
      </c>
      <c r="D38" s="49" t="s">
        <v>244</v>
      </c>
      <c r="E38" s="32" t="str">
        <f t="shared" si="0"/>
        <v>Onderzoek</v>
      </c>
      <c r="F38" s="28" t="str">
        <f t="shared" si="13"/>
        <v>onwaar</v>
      </c>
      <c r="G38" s="28" t="str">
        <f t="shared" si="14"/>
        <v>onwaar</v>
      </c>
      <c r="H38" s="28" t="str">
        <f t="shared" si="15"/>
        <v>onwaar</v>
      </c>
      <c r="I38" s="28" t="str">
        <f t="shared" si="16"/>
        <v>onwaar</v>
      </c>
      <c r="J38" s="28" t="str">
        <f t="shared" si="17"/>
        <v>onwaar</v>
      </c>
      <c r="K38" s="28" t="str">
        <f t="shared" si="18"/>
        <v>onwaar</v>
      </c>
      <c r="L38" s="28" t="str">
        <f t="shared" si="19"/>
        <v>onwaar</v>
      </c>
      <c r="M38" s="28" t="str">
        <f t="shared" si="20"/>
        <v>onwaar</v>
      </c>
      <c r="N38" s="28" t="str">
        <f t="shared" si="21"/>
        <v>onwaar</v>
      </c>
      <c r="O38" s="28" t="str">
        <f t="shared" si="22"/>
        <v>onwaar</v>
      </c>
      <c r="P38" s="28" t="str">
        <f t="shared" si="23"/>
        <v>onwaar</v>
      </c>
      <c r="Q38" s="28" t="str">
        <f t="shared" si="24"/>
        <v>onwaar</v>
      </c>
      <c r="R38" s="22"/>
    </row>
    <row r="39" spans="1:18" x14ac:dyDescent="0.3">
      <c r="A39" s="46" t="s">
        <v>205</v>
      </c>
      <c r="B39" s="49" t="s">
        <v>221</v>
      </c>
      <c r="C39" s="49" t="s">
        <v>221</v>
      </c>
      <c r="D39" s="49" t="s">
        <v>392</v>
      </c>
      <c r="E39" s="32" t="str">
        <f t="shared" si="0"/>
        <v>Onderzoek</v>
      </c>
      <c r="F39" s="28" t="str">
        <f t="shared" si="13"/>
        <v>onwaar</v>
      </c>
      <c r="G39" s="28" t="str">
        <f t="shared" si="14"/>
        <v>onwaar</v>
      </c>
      <c r="H39" s="28" t="str">
        <f t="shared" si="15"/>
        <v>onwaar</v>
      </c>
      <c r="I39" s="28" t="str">
        <f t="shared" si="16"/>
        <v>onwaar</v>
      </c>
      <c r="J39" s="28" t="str">
        <f t="shared" si="17"/>
        <v>onwaar</v>
      </c>
      <c r="K39" s="28" t="str">
        <f t="shared" si="18"/>
        <v>onwaar</v>
      </c>
      <c r="L39" s="28" t="str">
        <f t="shared" si="19"/>
        <v>onwaar</v>
      </c>
      <c r="M39" s="28" t="str">
        <f t="shared" si="20"/>
        <v>onwaar</v>
      </c>
      <c r="N39" s="28" t="str">
        <f t="shared" si="21"/>
        <v>onwaar</v>
      </c>
      <c r="O39" s="28" t="str">
        <f t="shared" si="22"/>
        <v>onwaar</v>
      </c>
      <c r="P39" s="28" t="str">
        <f t="shared" si="23"/>
        <v>onwaar</v>
      </c>
      <c r="Q39" s="28" t="str">
        <f t="shared" si="24"/>
        <v>onwaar</v>
      </c>
      <c r="R39" s="22"/>
    </row>
    <row r="40" spans="1:18" x14ac:dyDescent="0.3">
      <c r="A40" s="46" t="s">
        <v>205</v>
      </c>
      <c r="B40" s="49" t="s">
        <v>221</v>
      </c>
      <c r="C40" s="49" t="s">
        <v>221</v>
      </c>
      <c r="D40" s="49" t="s">
        <v>245</v>
      </c>
      <c r="E40" s="32" t="str">
        <f t="shared" si="0"/>
        <v>Onderzoek</v>
      </c>
      <c r="F40" s="28" t="str">
        <f t="shared" si="13"/>
        <v>onwaar</v>
      </c>
      <c r="G40" s="28" t="str">
        <f t="shared" si="14"/>
        <v>onwaar</v>
      </c>
      <c r="H40" s="28" t="str">
        <f t="shared" si="15"/>
        <v>onwaar</v>
      </c>
      <c r="I40" s="28" t="str">
        <f t="shared" si="16"/>
        <v>onwaar</v>
      </c>
      <c r="J40" s="28" t="str">
        <f t="shared" si="17"/>
        <v>onwaar</v>
      </c>
      <c r="K40" s="28" t="str">
        <f t="shared" si="18"/>
        <v>onwaar</v>
      </c>
      <c r="L40" s="28" t="str">
        <f t="shared" si="19"/>
        <v>onwaar</v>
      </c>
      <c r="M40" s="28" t="str">
        <f t="shared" si="20"/>
        <v>onwaar</v>
      </c>
      <c r="N40" s="28" t="str">
        <f t="shared" si="21"/>
        <v>onwaar</v>
      </c>
      <c r="O40" s="28" t="str">
        <f t="shared" si="22"/>
        <v>onwaar</v>
      </c>
      <c r="P40" s="28" t="str">
        <f t="shared" si="23"/>
        <v>onwaar</v>
      </c>
      <c r="Q40" s="28" t="str">
        <f t="shared" si="24"/>
        <v>onwaar</v>
      </c>
      <c r="R40" s="22"/>
    </row>
    <row r="41" spans="1:18" x14ac:dyDescent="0.3">
      <c r="A41" s="46" t="s">
        <v>205</v>
      </c>
      <c r="B41" s="49" t="s">
        <v>221</v>
      </c>
      <c r="C41" s="49" t="s">
        <v>221</v>
      </c>
      <c r="D41" s="49" t="s">
        <v>246</v>
      </c>
      <c r="E41" s="32" t="str">
        <f t="shared" si="0"/>
        <v>Onderzoek</v>
      </c>
      <c r="F41" s="28" t="str">
        <f t="shared" si="13"/>
        <v>onwaar</v>
      </c>
      <c r="G41" s="28" t="str">
        <f t="shared" si="14"/>
        <v>onwaar</v>
      </c>
      <c r="H41" s="28" t="str">
        <f t="shared" si="15"/>
        <v>onwaar</v>
      </c>
      <c r="I41" s="28" t="str">
        <f t="shared" si="16"/>
        <v>onwaar</v>
      </c>
      <c r="J41" s="28" t="str">
        <f t="shared" si="17"/>
        <v>onwaar</v>
      </c>
      <c r="K41" s="28" t="str">
        <f t="shared" si="18"/>
        <v>onwaar</v>
      </c>
      <c r="L41" s="28" t="str">
        <f t="shared" si="19"/>
        <v>onwaar</v>
      </c>
      <c r="M41" s="28" t="str">
        <f t="shared" si="20"/>
        <v>onwaar</v>
      </c>
      <c r="N41" s="28" t="str">
        <f t="shared" si="21"/>
        <v>onwaar</v>
      </c>
      <c r="O41" s="28" t="str">
        <f t="shared" si="22"/>
        <v>onwaar</v>
      </c>
      <c r="P41" s="28" t="str">
        <f t="shared" si="23"/>
        <v>onwaar</v>
      </c>
      <c r="Q41" s="28" t="str">
        <f t="shared" si="24"/>
        <v>onwaar</v>
      </c>
      <c r="R41" s="22"/>
    </row>
    <row r="42" spans="1:18" x14ac:dyDescent="0.3">
      <c r="A42" s="46" t="s">
        <v>205</v>
      </c>
      <c r="B42" s="49" t="s">
        <v>221</v>
      </c>
      <c r="C42" s="49" t="s">
        <v>221</v>
      </c>
      <c r="D42" s="49" t="s">
        <v>393</v>
      </c>
      <c r="E42" s="32" t="str">
        <f t="shared" si="0"/>
        <v>Onderzoek</v>
      </c>
      <c r="F42" s="28" t="str">
        <f t="shared" si="13"/>
        <v>onwaar</v>
      </c>
      <c r="G42" s="28" t="str">
        <f t="shared" si="14"/>
        <v>onwaar</v>
      </c>
      <c r="H42" s="28" t="str">
        <f t="shared" si="15"/>
        <v>onwaar</v>
      </c>
      <c r="I42" s="28" t="str">
        <f t="shared" si="16"/>
        <v>onwaar</v>
      </c>
      <c r="J42" s="28" t="str">
        <f t="shared" si="17"/>
        <v>onwaar</v>
      </c>
      <c r="K42" s="28" t="str">
        <f t="shared" si="18"/>
        <v>onwaar</v>
      </c>
      <c r="L42" s="28" t="str">
        <f t="shared" si="19"/>
        <v>onwaar</v>
      </c>
      <c r="M42" s="28" t="str">
        <f t="shared" si="20"/>
        <v>onwaar</v>
      </c>
      <c r="N42" s="28" t="str">
        <f t="shared" si="21"/>
        <v>onwaar</v>
      </c>
      <c r="O42" s="28" t="str">
        <f t="shared" si="22"/>
        <v>onwaar</v>
      </c>
      <c r="P42" s="28" t="str">
        <f t="shared" si="23"/>
        <v>onwaar</v>
      </c>
      <c r="Q42" s="28" t="str">
        <f t="shared" si="24"/>
        <v>onwaar</v>
      </c>
      <c r="R42" s="22"/>
    </row>
    <row r="43" spans="1:18" x14ac:dyDescent="0.3">
      <c r="A43" s="46" t="s">
        <v>205</v>
      </c>
      <c r="B43" s="49" t="s">
        <v>221</v>
      </c>
      <c r="C43" s="49" t="s">
        <v>221</v>
      </c>
      <c r="D43" s="49" t="s">
        <v>247</v>
      </c>
      <c r="E43" s="32" t="str">
        <f t="shared" si="0"/>
        <v>Onderzoek</v>
      </c>
      <c r="F43" s="28" t="str">
        <f t="shared" si="13"/>
        <v>onwaar</v>
      </c>
      <c r="G43" s="28" t="str">
        <f t="shared" si="14"/>
        <v>onwaar</v>
      </c>
      <c r="H43" s="28" t="str">
        <f t="shared" si="15"/>
        <v>onwaar</v>
      </c>
      <c r="I43" s="28" t="str">
        <f t="shared" si="16"/>
        <v>onwaar</v>
      </c>
      <c r="J43" s="28" t="str">
        <f t="shared" si="17"/>
        <v>onwaar</v>
      </c>
      <c r="K43" s="28" t="str">
        <f t="shared" si="18"/>
        <v>onwaar</v>
      </c>
      <c r="L43" s="28" t="str">
        <f t="shared" si="19"/>
        <v>onwaar</v>
      </c>
      <c r="M43" s="28" t="str">
        <f t="shared" si="20"/>
        <v>onwaar</v>
      </c>
      <c r="N43" s="28" t="str">
        <f t="shared" si="21"/>
        <v>onwaar</v>
      </c>
      <c r="O43" s="28" t="str">
        <f t="shared" si="22"/>
        <v>onwaar</v>
      </c>
      <c r="P43" s="28" t="str">
        <f t="shared" si="23"/>
        <v>onwaar</v>
      </c>
      <c r="Q43" s="28" t="str">
        <f t="shared" si="24"/>
        <v>onwaar</v>
      </c>
      <c r="R43" s="22"/>
    </row>
    <row r="44" spans="1:18" x14ac:dyDescent="0.3">
      <c r="A44" s="46" t="s">
        <v>205</v>
      </c>
      <c r="B44" s="49" t="s">
        <v>221</v>
      </c>
      <c r="C44" s="49" t="s">
        <v>221</v>
      </c>
      <c r="D44" s="49" t="s">
        <v>249</v>
      </c>
      <c r="E44" s="32" t="str">
        <f t="shared" si="0"/>
        <v>Onderzoek</v>
      </c>
      <c r="F44" s="28" t="str">
        <f t="shared" si="13"/>
        <v>onwaar</v>
      </c>
      <c r="G44" s="28" t="str">
        <f t="shared" si="14"/>
        <v>onwaar</v>
      </c>
      <c r="H44" s="28" t="str">
        <f t="shared" si="15"/>
        <v>onwaar</v>
      </c>
      <c r="I44" s="28" t="str">
        <f t="shared" si="16"/>
        <v>onwaar</v>
      </c>
      <c r="J44" s="28" t="str">
        <f t="shared" si="17"/>
        <v>onwaar</v>
      </c>
      <c r="K44" s="28" t="str">
        <f t="shared" si="18"/>
        <v>onwaar</v>
      </c>
      <c r="L44" s="28" t="str">
        <f t="shared" si="19"/>
        <v>onwaar</v>
      </c>
      <c r="M44" s="28" t="str">
        <f t="shared" si="20"/>
        <v>onwaar</v>
      </c>
      <c r="N44" s="28" t="str">
        <f t="shared" si="21"/>
        <v>onwaar</v>
      </c>
      <c r="O44" s="28" t="str">
        <f t="shared" si="22"/>
        <v>onwaar</v>
      </c>
      <c r="P44" s="28" t="str">
        <f t="shared" si="23"/>
        <v>onwaar</v>
      </c>
      <c r="Q44" s="28" t="str">
        <f t="shared" si="24"/>
        <v>onwaar</v>
      </c>
      <c r="R44" s="22"/>
    </row>
    <row r="45" spans="1:18" x14ac:dyDescent="0.3">
      <c r="A45" s="46" t="s">
        <v>205</v>
      </c>
      <c r="B45" s="49" t="s">
        <v>221</v>
      </c>
      <c r="C45" s="49" t="s">
        <v>221</v>
      </c>
      <c r="D45" s="49" t="s">
        <v>250</v>
      </c>
      <c r="E45" s="32" t="str">
        <f t="shared" si="0"/>
        <v>Onderzoek</v>
      </c>
      <c r="F45" s="28" t="str">
        <f t="shared" si="13"/>
        <v>onwaar</v>
      </c>
      <c r="G45" s="28" t="str">
        <f t="shared" si="14"/>
        <v>onwaar</v>
      </c>
      <c r="H45" s="28" t="str">
        <f t="shared" si="15"/>
        <v>onwaar</v>
      </c>
      <c r="I45" s="28" t="str">
        <f t="shared" si="16"/>
        <v>onwaar</v>
      </c>
      <c r="J45" s="28" t="str">
        <f t="shared" si="17"/>
        <v>onwaar</v>
      </c>
      <c r="K45" s="28" t="str">
        <f t="shared" si="18"/>
        <v>onwaar</v>
      </c>
      <c r="L45" s="28" t="str">
        <f t="shared" si="19"/>
        <v>onwaar</v>
      </c>
      <c r="M45" s="28" t="str">
        <f t="shared" si="20"/>
        <v>onwaar</v>
      </c>
      <c r="N45" s="28" t="str">
        <f t="shared" si="21"/>
        <v>onwaar</v>
      </c>
      <c r="O45" s="28" t="str">
        <f t="shared" si="22"/>
        <v>onwaar</v>
      </c>
      <c r="P45" s="28" t="str">
        <f t="shared" si="23"/>
        <v>onwaar</v>
      </c>
      <c r="Q45" s="28" t="str">
        <f t="shared" si="24"/>
        <v>onwaar</v>
      </c>
      <c r="R45" s="22"/>
    </row>
    <row r="46" spans="1:18" x14ac:dyDescent="0.3">
      <c r="A46" s="46" t="s">
        <v>205</v>
      </c>
      <c r="B46" s="49" t="s">
        <v>221</v>
      </c>
      <c r="C46" s="49" t="s">
        <v>221</v>
      </c>
      <c r="D46" s="49" t="s">
        <v>394</v>
      </c>
      <c r="E46" s="32" t="str">
        <f t="shared" si="0"/>
        <v>Onderzoek</v>
      </c>
      <c r="F46" s="28" t="str">
        <f t="shared" si="13"/>
        <v>onwaar</v>
      </c>
      <c r="G46" s="28" t="str">
        <f t="shared" si="14"/>
        <v>onwaar</v>
      </c>
      <c r="H46" s="28" t="str">
        <f t="shared" si="15"/>
        <v>onwaar</v>
      </c>
      <c r="I46" s="28" t="str">
        <f t="shared" si="16"/>
        <v>onwaar</v>
      </c>
      <c r="J46" s="28" t="str">
        <f t="shared" si="17"/>
        <v>onwaar</v>
      </c>
      <c r="K46" s="28" t="str">
        <f t="shared" si="18"/>
        <v>onwaar</v>
      </c>
      <c r="L46" s="28" t="str">
        <f t="shared" si="19"/>
        <v>onwaar</v>
      </c>
      <c r="M46" s="28" t="str">
        <f t="shared" si="20"/>
        <v>onwaar</v>
      </c>
      <c r="N46" s="28" t="str">
        <f t="shared" si="21"/>
        <v>onwaar</v>
      </c>
      <c r="O46" s="28" t="str">
        <f t="shared" si="22"/>
        <v>onwaar</v>
      </c>
      <c r="P46" s="28" t="str">
        <f t="shared" si="23"/>
        <v>onwaar</v>
      </c>
      <c r="Q46" s="28" t="str">
        <f t="shared" si="24"/>
        <v>onwaar</v>
      </c>
      <c r="R46" s="22"/>
    </row>
    <row r="47" spans="1:18" x14ac:dyDescent="0.3">
      <c r="A47" s="46" t="s">
        <v>205</v>
      </c>
      <c r="B47" s="49" t="s">
        <v>221</v>
      </c>
      <c r="C47" s="49" t="s">
        <v>221</v>
      </c>
      <c r="D47" s="49" t="s">
        <v>252</v>
      </c>
      <c r="E47" s="32" t="str">
        <f t="shared" si="0"/>
        <v>Onderzoek</v>
      </c>
      <c r="F47" s="28" t="str">
        <f t="shared" si="13"/>
        <v>onwaar</v>
      </c>
      <c r="G47" s="28" t="str">
        <f t="shared" si="14"/>
        <v>onwaar</v>
      </c>
      <c r="H47" s="28" t="str">
        <f t="shared" si="15"/>
        <v>onwaar</v>
      </c>
      <c r="I47" s="28" t="str">
        <f t="shared" si="16"/>
        <v>onwaar</v>
      </c>
      <c r="J47" s="28" t="str">
        <f t="shared" si="17"/>
        <v>onwaar</v>
      </c>
      <c r="K47" s="28" t="str">
        <f t="shared" si="18"/>
        <v>onwaar</v>
      </c>
      <c r="L47" s="28" t="str">
        <f t="shared" si="19"/>
        <v>onwaar</v>
      </c>
      <c r="M47" s="28" t="str">
        <f t="shared" si="20"/>
        <v>onwaar</v>
      </c>
      <c r="N47" s="28" t="str">
        <f t="shared" si="21"/>
        <v>onwaar</v>
      </c>
      <c r="O47" s="28" t="str">
        <f t="shared" si="22"/>
        <v>onwaar</v>
      </c>
      <c r="P47" s="28" t="str">
        <f t="shared" si="23"/>
        <v>onwaar</v>
      </c>
      <c r="Q47" s="28" t="str">
        <f t="shared" si="24"/>
        <v>onwaar</v>
      </c>
      <c r="R47" s="22"/>
    </row>
    <row r="48" spans="1:18" x14ac:dyDescent="0.3">
      <c r="A48" s="46" t="s">
        <v>205</v>
      </c>
      <c r="B48" s="49" t="s">
        <v>221</v>
      </c>
      <c r="C48" s="49" t="s">
        <v>221</v>
      </c>
      <c r="D48" s="49" t="s">
        <v>254</v>
      </c>
      <c r="E48" s="32" t="str">
        <f t="shared" si="0"/>
        <v>Onderzoek</v>
      </c>
      <c r="F48" s="28" t="str">
        <f t="shared" si="13"/>
        <v>onwaar</v>
      </c>
      <c r="G48" s="28" t="str">
        <f t="shared" si="14"/>
        <v>onwaar</v>
      </c>
      <c r="H48" s="28" t="str">
        <f t="shared" si="15"/>
        <v>onwaar</v>
      </c>
      <c r="I48" s="28" t="str">
        <f t="shared" si="16"/>
        <v>onwaar</v>
      </c>
      <c r="J48" s="28" t="str">
        <f t="shared" si="17"/>
        <v>onwaar</v>
      </c>
      <c r="K48" s="28" t="str">
        <f t="shared" si="18"/>
        <v>onwaar</v>
      </c>
      <c r="L48" s="28" t="str">
        <f t="shared" si="19"/>
        <v>onwaar</v>
      </c>
      <c r="M48" s="28" t="str">
        <f t="shared" si="20"/>
        <v>onwaar</v>
      </c>
      <c r="N48" s="28" t="str">
        <f t="shared" si="21"/>
        <v>onwaar</v>
      </c>
      <c r="O48" s="28" t="str">
        <f t="shared" si="22"/>
        <v>onwaar</v>
      </c>
      <c r="P48" s="28" t="str">
        <f t="shared" si="23"/>
        <v>onwaar</v>
      </c>
      <c r="Q48" s="28" t="str">
        <f t="shared" si="24"/>
        <v>onwaar</v>
      </c>
      <c r="R48" s="22"/>
    </row>
    <row r="49" spans="1:18" x14ac:dyDescent="0.3">
      <c r="A49" s="46" t="s">
        <v>205</v>
      </c>
      <c r="B49" s="49" t="s">
        <v>221</v>
      </c>
      <c r="C49" s="49" t="s">
        <v>221</v>
      </c>
      <c r="D49" s="49" t="s">
        <v>256</v>
      </c>
      <c r="E49" s="32" t="str">
        <f t="shared" si="0"/>
        <v>Onderzoek</v>
      </c>
      <c r="F49" s="28" t="str">
        <f t="shared" si="13"/>
        <v>onwaar</v>
      </c>
      <c r="G49" s="28" t="str">
        <f t="shared" si="14"/>
        <v>onwaar</v>
      </c>
      <c r="H49" s="28" t="str">
        <f t="shared" si="15"/>
        <v>onwaar</v>
      </c>
      <c r="I49" s="28" t="str">
        <f t="shared" si="16"/>
        <v>onwaar</v>
      </c>
      <c r="J49" s="28" t="str">
        <f t="shared" si="17"/>
        <v>onwaar</v>
      </c>
      <c r="K49" s="28" t="str">
        <f t="shared" si="18"/>
        <v>onwaar</v>
      </c>
      <c r="L49" s="28" t="str">
        <f t="shared" si="19"/>
        <v>onwaar</v>
      </c>
      <c r="M49" s="28" t="str">
        <f t="shared" si="20"/>
        <v>onwaar</v>
      </c>
      <c r="N49" s="28" t="str">
        <f t="shared" si="21"/>
        <v>onwaar</v>
      </c>
      <c r="O49" s="28" t="str">
        <f t="shared" si="22"/>
        <v>onwaar</v>
      </c>
      <c r="P49" s="28" t="str">
        <f t="shared" si="23"/>
        <v>onwaar</v>
      </c>
      <c r="Q49" s="28" t="str">
        <f t="shared" si="24"/>
        <v>onwaar</v>
      </c>
      <c r="R49" s="22"/>
    </row>
    <row r="50" spans="1:18" x14ac:dyDescent="0.3">
      <c r="A50" s="46" t="s">
        <v>205</v>
      </c>
      <c r="B50" s="49" t="s">
        <v>221</v>
      </c>
      <c r="C50" s="49" t="s">
        <v>221</v>
      </c>
      <c r="D50" s="49" t="s">
        <v>258</v>
      </c>
      <c r="E50" s="32" t="str">
        <f t="shared" si="0"/>
        <v>Onderzoek</v>
      </c>
      <c r="F50" s="28" t="str">
        <f t="shared" si="13"/>
        <v>onwaar</v>
      </c>
      <c r="G50" s="28" t="str">
        <f t="shared" si="14"/>
        <v>onwaar</v>
      </c>
      <c r="H50" s="28" t="str">
        <f t="shared" si="15"/>
        <v>onwaar</v>
      </c>
      <c r="I50" s="28" t="str">
        <f t="shared" si="16"/>
        <v>onwaar</v>
      </c>
      <c r="J50" s="28" t="str">
        <f t="shared" si="17"/>
        <v>onwaar</v>
      </c>
      <c r="K50" s="28" t="str">
        <f t="shared" si="18"/>
        <v>onwaar</v>
      </c>
      <c r="L50" s="28" t="str">
        <f t="shared" si="19"/>
        <v>onwaar</v>
      </c>
      <c r="M50" s="28" t="str">
        <f t="shared" si="20"/>
        <v>onwaar</v>
      </c>
      <c r="N50" s="28" t="str">
        <f t="shared" si="21"/>
        <v>onwaar</v>
      </c>
      <c r="O50" s="28" t="str">
        <f t="shared" si="22"/>
        <v>onwaar</v>
      </c>
      <c r="P50" s="28" t="str">
        <f t="shared" si="23"/>
        <v>onwaar</v>
      </c>
      <c r="Q50" s="28" t="str">
        <f t="shared" si="24"/>
        <v>onwaar</v>
      </c>
      <c r="R50" s="22"/>
    </row>
    <row r="51" spans="1:18" x14ac:dyDescent="0.3">
      <c r="A51" s="46" t="s">
        <v>205</v>
      </c>
      <c r="B51" s="49" t="s">
        <v>221</v>
      </c>
      <c r="C51" s="49" t="s">
        <v>221</v>
      </c>
      <c r="D51" s="49" t="s">
        <v>259</v>
      </c>
      <c r="E51" s="32" t="str">
        <f t="shared" si="0"/>
        <v>Onderzoek</v>
      </c>
      <c r="F51" s="28" t="str">
        <f t="shared" si="13"/>
        <v>onwaar</v>
      </c>
      <c r="G51" s="28" t="str">
        <f t="shared" si="14"/>
        <v>onwaar</v>
      </c>
      <c r="H51" s="28" t="str">
        <f t="shared" si="15"/>
        <v>onwaar</v>
      </c>
      <c r="I51" s="28" t="str">
        <f t="shared" si="16"/>
        <v>onwaar</v>
      </c>
      <c r="J51" s="28" t="str">
        <f t="shared" si="17"/>
        <v>onwaar</v>
      </c>
      <c r="K51" s="28" t="str">
        <f t="shared" si="18"/>
        <v>onwaar</v>
      </c>
      <c r="L51" s="28" t="str">
        <f t="shared" si="19"/>
        <v>onwaar</v>
      </c>
      <c r="M51" s="28" t="str">
        <f t="shared" si="20"/>
        <v>onwaar</v>
      </c>
      <c r="N51" s="28" t="str">
        <f t="shared" si="21"/>
        <v>onwaar</v>
      </c>
      <c r="O51" s="28" t="str">
        <f t="shared" si="22"/>
        <v>onwaar</v>
      </c>
      <c r="P51" s="28" t="str">
        <f t="shared" si="23"/>
        <v>onwaar</v>
      </c>
      <c r="Q51" s="28" t="str">
        <f t="shared" si="24"/>
        <v>onwaar</v>
      </c>
      <c r="R51" s="22"/>
    </row>
    <row r="52" spans="1:18" x14ac:dyDescent="0.3">
      <c r="A52" s="46" t="s">
        <v>205</v>
      </c>
      <c r="B52" s="49" t="s">
        <v>221</v>
      </c>
      <c r="C52" s="49" t="s">
        <v>221</v>
      </c>
      <c r="D52" s="49" t="s">
        <v>260</v>
      </c>
      <c r="E52" s="32" t="str">
        <f t="shared" si="0"/>
        <v>Onderzoek</v>
      </c>
      <c r="F52" s="28" t="str">
        <f t="shared" si="13"/>
        <v>onwaar</v>
      </c>
      <c r="G52" s="28" t="str">
        <f t="shared" si="14"/>
        <v>onwaar</v>
      </c>
      <c r="H52" s="28" t="str">
        <f t="shared" si="15"/>
        <v>onwaar</v>
      </c>
      <c r="I52" s="28" t="str">
        <f t="shared" si="16"/>
        <v>onwaar</v>
      </c>
      <c r="J52" s="28" t="str">
        <f t="shared" si="17"/>
        <v>onwaar</v>
      </c>
      <c r="K52" s="28" t="str">
        <f t="shared" si="18"/>
        <v>onwaar</v>
      </c>
      <c r="L52" s="28" t="str">
        <f t="shared" si="19"/>
        <v>onwaar</v>
      </c>
      <c r="M52" s="28" t="str">
        <f t="shared" si="20"/>
        <v>onwaar</v>
      </c>
      <c r="N52" s="28" t="str">
        <f t="shared" si="21"/>
        <v>onwaar</v>
      </c>
      <c r="O52" s="28" t="str">
        <f t="shared" si="22"/>
        <v>onwaar</v>
      </c>
      <c r="P52" s="28" t="str">
        <f t="shared" si="23"/>
        <v>onwaar</v>
      </c>
      <c r="Q52" s="28" t="str">
        <f t="shared" si="24"/>
        <v>onwaar</v>
      </c>
      <c r="R52" s="22"/>
    </row>
    <row r="53" spans="1:18" x14ac:dyDescent="0.3">
      <c r="A53" s="46" t="s">
        <v>205</v>
      </c>
      <c r="B53" s="49" t="s">
        <v>221</v>
      </c>
      <c r="C53" s="49" t="s">
        <v>221</v>
      </c>
      <c r="D53" s="49" t="s">
        <v>262</v>
      </c>
      <c r="E53" s="32" t="str">
        <f t="shared" si="0"/>
        <v>Onderzoek</v>
      </c>
      <c r="F53" s="28" t="str">
        <f t="shared" si="13"/>
        <v>onwaar</v>
      </c>
      <c r="G53" s="28" t="str">
        <f t="shared" si="14"/>
        <v>onwaar</v>
      </c>
      <c r="H53" s="28" t="str">
        <f t="shared" si="15"/>
        <v>onwaar</v>
      </c>
      <c r="I53" s="28" t="str">
        <f t="shared" si="16"/>
        <v>onwaar</v>
      </c>
      <c r="J53" s="28" t="str">
        <f t="shared" si="17"/>
        <v>onwaar</v>
      </c>
      <c r="K53" s="28" t="str">
        <f t="shared" si="18"/>
        <v>onwaar</v>
      </c>
      <c r="L53" s="28" t="str">
        <f t="shared" si="19"/>
        <v>onwaar</v>
      </c>
      <c r="M53" s="28" t="str">
        <f t="shared" si="20"/>
        <v>onwaar</v>
      </c>
      <c r="N53" s="28" t="str">
        <f t="shared" si="21"/>
        <v>onwaar</v>
      </c>
      <c r="O53" s="28" t="str">
        <f t="shared" si="22"/>
        <v>onwaar</v>
      </c>
      <c r="P53" s="28" t="str">
        <f t="shared" si="23"/>
        <v>onwaar</v>
      </c>
      <c r="Q53" s="28" t="str">
        <f t="shared" si="24"/>
        <v>onwaar</v>
      </c>
      <c r="R53" s="22"/>
    </row>
    <row r="54" spans="1:18" x14ac:dyDescent="0.3">
      <c r="A54" s="46" t="s">
        <v>205</v>
      </c>
      <c r="B54" s="49" t="s">
        <v>221</v>
      </c>
      <c r="C54" s="49" t="s">
        <v>221</v>
      </c>
      <c r="D54" s="49" t="s">
        <v>264</v>
      </c>
      <c r="E54" s="32" t="str">
        <f t="shared" si="0"/>
        <v>Onderzoek</v>
      </c>
      <c r="F54" s="28" t="str">
        <f t="shared" si="13"/>
        <v>onwaar</v>
      </c>
      <c r="G54" s="28" t="str">
        <f t="shared" si="14"/>
        <v>onwaar</v>
      </c>
      <c r="H54" s="28" t="str">
        <f t="shared" si="15"/>
        <v>onwaar</v>
      </c>
      <c r="I54" s="28" t="str">
        <f t="shared" si="16"/>
        <v>onwaar</v>
      </c>
      <c r="J54" s="28" t="str">
        <f t="shared" si="17"/>
        <v>onwaar</v>
      </c>
      <c r="K54" s="28" t="str">
        <f t="shared" si="18"/>
        <v>onwaar</v>
      </c>
      <c r="L54" s="28" t="str">
        <f t="shared" si="19"/>
        <v>onwaar</v>
      </c>
      <c r="M54" s="28" t="str">
        <f t="shared" si="20"/>
        <v>onwaar</v>
      </c>
      <c r="N54" s="28" t="str">
        <f t="shared" si="21"/>
        <v>onwaar</v>
      </c>
      <c r="O54" s="28" t="str">
        <f t="shared" si="22"/>
        <v>onwaar</v>
      </c>
      <c r="P54" s="28" t="str">
        <f t="shared" si="23"/>
        <v>onwaar</v>
      </c>
      <c r="Q54" s="28" t="str">
        <f t="shared" si="24"/>
        <v>onwaar</v>
      </c>
      <c r="R54" s="22"/>
    </row>
    <row r="55" spans="1:18" x14ac:dyDescent="0.3">
      <c r="A55" s="46" t="s">
        <v>205</v>
      </c>
      <c r="B55" s="49" t="s">
        <v>221</v>
      </c>
      <c r="C55" s="49" t="s">
        <v>221</v>
      </c>
      <c r="D55" s="49" t="s">
        <v>265</v>
      </c>
      <c r="E55" s="32" t="str">
        <f t="shared" si="0"/>
        <v>Onderzoek</v>
      </c>
      <c r="F55" s="28" t="str">
        <f t="shared" si="13"/>
        <v>onwaar</v>
      </c>
      <c r="G55" s="28" t="str">
        <f t="shared" si="14"/>
        <v>onwaar</v>
      </c>
      <c r="H55" s="28" t="str">
        <f t="shared" si="15"/>
        <v>onwaar</v>
      </c>
      <c r="I55" s="28" t="str">
        <f t="shared" si="16"/>
        <v>onwaar</v>
      </c>
      <c r="J55" s="28" t="str">
        <f t="shared" si="17"/>
        <v>onwaar</v>
      </c>
      <c r="K55" s="28" t="str">
        <f t="shared" si="18"/>
        <v>onwaar</v>
      </c>
      <c r="L55" s="28" t="str">
        <f t="shared" si="19"/>
        <v>onwaar</v>
      </c>
      <c r="M55" s="28" t="str">
        <f t="shared" si="20"/>
        <v>onwaar</v>
      </c>
      <c r="N55" s="28" t="str">
        <f t="shared" si="21"/>
        <v>onwaar</v>
      </c>
      <c r="O55" s="28" t="str">
        <f t="shared" si="22"/>
        <v>onwaar</v>
      </c>
      <c r="P55" s="28" t="str">
        <f t="shared" si="23"/>
        <v>onwaar</v>
      </c>
      <c r="Q55" s="28" t="str">
        <f t="shared" si="24"/>
        <v>onwaar</v>
      </c>
      <c r="R55" s="22"/>
    </row>
    <row r="56" spans="1:18" x14ac:dyDescent="0.3">
      <c r="A56" s="46" t="s">
        <v>205</v>
      </c>
      <c r="B56" s="49" t="s">
        <v>221</v>
      </c>
      <c r="C56" s="49" t="s">
        <v>221</v>
      </c>
      <c r="D56" s="49" t="s">
        <v>395</v>
      </c>
      <c r="E56" s="32" t="str">
        <f t="shared" si="0"/>
        <v>Onderzoek</v>
      </c>
      <c r="F56" s="28" t="str">
        <f t="shared" si="13"/>
        <v>onwaar</v>
      </c>
      <c r="G56" s="28" t="str">
        <f t="shared" si="14"/>
        <v>onwaar</v>
      </c>
      <c r="H56" s="28" t="str">
        <f t="shared" si="15"/>
        <v>onwaar</v>
      </c>
      <c r="I56" s="28" t="str">
        <f t="shared" si="16"/>
        <v>onwaar</v>
      </c>
      <c r="J56" s="28" t="str">
        <f t="shared" si="17"/>
        <v>onwaar</v>
      </c>
      <c r="K56" s="28" t="str">
        <f t="shared" si="18"/>
        <v>onwaar</v>
      </c>
      <c r="L56" s="28" t="str">
        <f t="shared" si="19"/>
        <v>onwaar</v>
      </c>
      <c r="M56" s="28" t="str">
        <f t="shared" si="20"/>
        <v>onwaar</v>
      </c>
      <c r="N56" s="28" t="str">
        <f t="shared" si="21"/>
        <v>onwaar</v>
      </c>
      <c r="O56" s="28" t="str">
        <f t="shared" si="22"/>
        <v>onwaar</v>
      </c>
      <c r="P56" s="28" t="str">
        <f t="shared" si="23"/>
        <v>onwaar</v>
      </c>
      <c r="Q56" s="28" t="str">
        <f t="shared" si="24"/>
        <v>onwaar</v>
      </c>
      <c r="R56" s="22"/>
    </row>
    <row r="57" spans="1:18" x14ac:dyDescent="0.3">
      <c r="A57" s="46" t="s">
        <v>205</v>
      </c>
      <c r="B57" s="49" t="s">
        <v>221</v>
      </c>
      <c r="C57" s="49" t="s">
        <v>221</v>
      </c>
      <c r="D57" s="49" t="s">
        <v>266</v>
      </c>
      <c r="E57" s="32" t="str">
        <f t="shared" si="0"/>
        <v>Onderzoek</v>
      </c>
      <c r="F57" s="28" t="str">
        <f t="shared" si="13"/>
        <v>onwaar</v>
      </c>
      <c r="G57" s="28" t="str">
        <f t="shared" si="14"/>
        <v>onwaar</v>
      </c>
      <c r="H57" s="28" t="str">
        <f t="shared" si="15"/>
        <v>onwaar</v>
      </c>
      <c r="I57" s="28" t="str">
        <f t="shared" si="16"/>
        <v>onwaar</v>
      </c>
      <c r="J57" s="28" t="str">
        <f t="shared" si="17"/>
        <v>onwaar</v>
      </c>
      <c r="K57" s="28" t="str">
        <f t="shared" si="18"/>
        <v>onwaar</v>
      </c>
      <c r="L57" s="28" t="str">
        <f t="shared" si="19"/>
        <v>onwaar</v>
      </c>
      <c r="M57" s="28" t="str">
        <f t="shared" si="20"/>
        <v>onwaar</v>
      </c>
      <c r="N57" s="28" t="str">
        <f t="shared" si="21"/>
        <v>onwaar</v>
      </c>
      <c r="O57" s="28" t="str">
        <f t="shared" si="22"/>
        <v>onwaar</v>
      </c>
      <c r="P57" s="28" t="str">
        <f t="shared" si="23"/>
        <v>onwaar</v>
      </c>
      <c r="Q57" s="28" t="str">
        <f t="shared" si="24"/>
        <v>onwaar</v>
      </c>
      <c r="R57" s="22"/>
    </row>
    <row r="58" spans="1:18" x14ac:dyDescent="0.3">
      <c r="A58" s="46" t="s">
        <v>205</v>
      </c>
      <c r="B58" s="49" t="s">
        <v>221</v>
      </c>
      <c r="C58" s="49" t="s">
        <v>221</v>
      </c>
      <c r="D58" s="49" t="s">
        <v>396</v>
      </c>
      <c r="E58" s="32" t="str">
        <f t="shared" si="0"/>
        <v>Onderzoek</v>
      </c>
      <c r="F58" s="28" t="str">
        <f t="shared" si="13"/>
        <v>onwaar</v>
      </c>
      <c r="G58" s="28" t="str">
        <f t="shared" si="14"/>
        <v>onwaar</v>
      </c>
      <c r="H58" s="28" t="str">
        <f t="shared" si="15"/>
        <v>onwaar</v>
      </c>
      <c r="I58" s="28" t="str">
        <f t="shared" si="16"/>
        <v>onwaar</v>
      </c>
      <c r="J58" s="28" t="str">
        <f t="shared" si="17"/>
        <v>onwaar</v>
      </c>
      <c r="K58" s="28" t="str">
        <f t="shared" si="18"/>
        <v>onwaar</v>
      </c>
      <c r="L58" s="28" t="str">
        <f t="shared" si="19"/>
        <v>onwaar</v>
      </c>
      <c r="M58" s="28" t="str">
        <f t="shared" si="20"/>
        <v>onwaar</v>
      </c>
      <c r="N58" s="28" t="str">
        <f t="shared" si="21"/>
        <v>onwaar</v>
      </c>
      <c r="O58" s="28" t="str">
        <f t="shared" si="22"/>
        <v>onwaar</v>
      </c>
      <c r="P58" s="28" t="str">
        <f t="shared" si="23"/>
        <v>onwaar</v>
      </c>
      <c r="Q58" s="28" t="str">
        <f t="shared" si="24"/>
        <v>onwaar</v>
      </c>
      <c r="R58" s="22"/>
    </row>
    <row r="59" spans="1:18" x14ac:dyDescent="0.3">
      <c r="A59" s="46" t="s">
        <v>205</v>
      </c>
      <c r="B59" s="49" t="s">
        <v>221</v>
      </c>
      <c r="C59" s="49" t="s">
        <v>221</v>
      </c>
      <c r="D59" s="49" t="s">
        <v>267</v>
      </c>
      <c r="E59" s="32" t="str">
        <f t="shared" si="0"/>
        <v>Onderzoek</v>
      </c>
      <c r="F59" s="28" t="str">
        <f t="shared" si="13"/>
        <v>onwaar</v>
      </c>
      <c r="G59" s="28" t="str">
        <f t="shared" si="14"/>
        <v>onwaar</v>
      </c>
      <c r="H59" s="28" t="str">
        <f t="shared" si="15"/>
        <v>onwaar</v>
      </c>
      <c r="I59" s="28" t="str">
        <f t="shared" si="16"/>
        <v>onwaar</v>
      </c>
      <c r="J59" s="28" t="str">
        <f t="shared" si="17"/>
        <v>onwaar</v>
      </c>
      <c r="K59" s="28" t="str">
        <f t="shared" si="18"/>
        <v>onwaar</v>
      </c>
      <c r="L59" s="28" t="str">
        <f t="shared" si="19"/>
        <v>onwaar</v>
      </c>
      <c r="M59" s="28" t="str">
        <f t="shared" si="20"/>
        <v>onwaar</v>
      </c>
      <c r="N59" s="28" t="str">
        <f t="shared" si="21"/>
        <v>onwaar</v>
      </c>
      <c r="O59" s="28" t="str">
        <f t="shared" si="22"/>
        <v>onwaar</v>
      </c>
      <c r="P59" s="28" t="str">
        <f t="shared" si="23"/>
        <v>onwaar</v>
      </c>
      <c r="Q59" s="28" t="str">
        <f t="shared" si="24"/>
        <v>onwaar</v>
      </c>
      <c r="R59" s="22"/>
    </row>
    <row r="60" spans="1:18" x14ac:dyDescent="0.3">
      <c r="A60" s="46" t="s">
        <v>205</v>
      </c>
      <c r="B60" s="49" t="s">
        <v>221</v>
      </c>
      <c r="C60" s="49" t="s">
        <v>221</v>
      </c>
      <c r="D60" s="49" t="s">
        <v>397</v>
      </c>
      <c r="E60" s="32" t="str">
        <f t="shared" si="0"/>
        <v>Onderzoek</v>
      </c>
      <c r="F60" s="28" t="str">
        <f t="shared" si="13"/>
        <v>onwaar</v>
      </c>
      <c r="G60" s="28" t="str">
        <f t="shared" si="14"/>
        <v>onwaar</v>
      </c>
      <c r="H60" s="28" t="str">
        <f t="shared" si="15"/>
        <v>onwaar</v>
      </c>
      <c r="I60" s="28" t="str">
        <f t="shared" si="16"/>
        <v>onwaar</v>
      </c>
      <c r="J60" s="28" t="str">
        <f t="shared" si="17"/>
        <v>onwaar</v>
      </c>
      <c r="K60" s="28" t="str">
        <f t="shared" si="18"/>
        <v>onwaar</v>
      </c>
      <c r="L60" s="28" t="str">
        <f t="shared" si="19"/>
        <v>onwaar</v>
      </c>
      <c r="M60" s="28" t="str">
        <f t="shared" si="20"/>
        <v>onwaar</v>
      </c>
      <c r="N60" s="28" t="str">
        <f t="shared" si="21"/>
        <v>onwaar</v>
      </c>
      <c r="O60" s="28" t="str">
        <f t="shared" si="22"/>
        <v>onwaar</v>
      </c>
      <c r="P60" s="28" t="str">
        <f t="shared" si="23"/>
        <v>onwaar</v>
      </c>
      <c r="Q60" s="28" t="str">
        <f t="shared" si="24"/>
        <v>onwaar</v>
      </c>
      <c r="R60" s="22"/>
    </row>
    <row r="61" spans="1:18" x14ac:dyDescent="0.3">
      <c r="A61" s="46" t="s">
        <v>205</v>
      </c>
      <c r="B61" s="49" t="s">
        <v>221</v>
      </c>
      <c r="C61" s="49" t="s">
        <v>221</v>
      </c>
      <c r="D61" s="49" t="s">
        <v>268</v>
      </c>
      <c r="E61" s="32" t="str">
        <f t="shared" si="0"/>
        <v>Onderzoek</v>
      </c>
      <c r="F61" s="28" t="str">
        <f t="shared" si="13"/>
        <v>onwaar</v>
      </c>
      <c r="G61" s="28" t="str">
        <f t="shared" si="14"/>
        <v>onwaar</v>
      </c>
      <c r="H61" s="28" t="str">
        <f t="shared" si="15"/>
        <v>onwaar</v>
      </c>
      <c r="I61" s="28" t="str">
        <f t="shared" si="16"/>
        <v>onwaar</v>
      </c>
      <c r="J61" s="28" t="str">
        <f t="shared" si="17"/>
        <v>onwaar</v>
      </c>
      <c r="K61" s="28" t="str">
        <f t="shared" si="18"/>
        <v>onwaar</v>
      </c>
      <c r="L61" s="28" t="str">
        <f t="shared" si="19"/>
        <v>onwaar</v>
      </c>
      <c r="M61" s="28" t="str">
        <f t="shared" si="20"/>
        <v>onwaar</v>
      </c>
      <c r="N61" s="28" t="str">
        <f t="shared" si="21"/>
        <v>onwaar</v>
      </c>
      <c r="O61" s="28" t="str">
        <f t="shared" si="22"/>
        <v>onwaar</v>
      </c>
      <c r="P61" s="28" t="str">
        <f t="shared" si="23"/>
        <v>onwaar</v>
      </c>
      <c r="Q61" s="28" t="str">
        <f t="shared" si="24"/>
        <v>onwaar</v>
      </c>
      <c r="R61" s="22"/>
    </row>
    <row r="62" spans="1:18" x14ac:dyDescent="0.3">
      <c r="A62" s="46" t="s">
        <v>205</v>
      </c>
      <c r="B62" s="49" t="s">
        <v>221</v>
      </c>
      <c r="C62" s="49" t="s">
        <v>221</v>
      </c>
      <c r="D62" s="49" t="s">
        <v>271</v>
      </c>
      <c r="E62" s="32" t="str">
        <f t="shared" si="0"/>
        <v>Onderzoek</v>
      </c>
      <c r="F62" s="28" t="str">
        <f t="shared" si="13"/>
        <v>onwaar</v>
      </c>
      <c r="G62" s="28" t="str">
        <f t="shared" si="14"/>
        <v>onwaar</v>
      </c>
      <c r="H62" s="28" t="str">
        <f t="shared" si="15"/>
        <v>onwaar</v>
      </c>
      <c r="I62" s="28" t="str">
        <f t="shared" si="16"/>
        <v>onwaar</v>
      </c>
      <c r="J62" s="28" t="str">
        <f t="shared" si="17"/>
        <v>onwaar</v>
      </c>
      <c r="K62" s="28" t="str">
        <f t="shared" si="18"/>
        <v>onwaar</v>
      </c>
      <c r="L62" s="28" t="str">
        <f t="shared" si="19"/>
        <v>onwaar</v>
      </c>
      <c r="M62" s="28" t="str">
        <f t="shared" si="20"/>
        <v>onwaar</v>
      </c>
      <c r="N62" s="28" t="str">
        <f t="shared" si="21"/>
        <v>onwaar</v>
      </c>
      <c r="O62" s="28" t="str">
        <f t="shared" si="22"/>
        <v>onwaar</v>
      </c>
      <c r="P62" s="28" t="str">
        <f t="shared" si="23"/>
        <v>onwaar</v>
      </c>
      <c r="Q62" s="28" t="str">
        <f t="shared" si="24"/>
        <v>onwaar</v>
      </c>
      <c r="R62" s="22"/>
    </row>
    <row r="63" spans="1:18" x14ac:dyDescent="0.3">
      <c r="A63" s="46" t="s">
        <v>205</v>
      </c>
      <c r="B63" s="49" t="s">
        <v>221</v>
      </c>
      <c r="C63" s="49" t="s">
        <v>221</v>
      </c>
      <c r="D63" s="49" t="s">
        <v>272</v>
      </c>
      <c r="E63" s="32" t="str">
        <f t="shared" si="0"/>
        <v>Onderzoek</v>
      </c>
      <c r="F63" s="28" t="str">
        <f t="shared" si="13"/>
        <v>onwaar</v>
      </c>
      <c r="G63" s="28" t="str">
        <f t="shared" si="14"/>
        <v>onwaar</v>
      </c>
      <c r="H63" s="28" t="str">
        <f t="shared" si="15"/>
        <v>onwaar</v>
      </c>
      <c r="I63" s="28" t="str">
        <f t="shared" si="16"/>
        <v>onwaar</v>
      </c>
      <c r="J63" s="28" t="str">
        <f t="shared" si="17"/>
        <v>onwaar</v>
      </c>
      <c r="K63" s="28" t="str">
        <f t="shared" si="18"/>
        <v>onwaar</v>
      </c>
      <c r="L63" s="28" t="str">
        <f t="shared" si="19"/>
        <v>onwaar</v>
      </c>
      <c r="M63" s="28" t="str">
        <f t="shared" si="20"/>
        <v>onwaar</v>
      </c>
      <c r="N63" s="28" t="str">
        <f t="shared" si="21"/>
        <v>onwaar</v>
      </c>
      <c r="O63" s="28" t="str">
        <f t="shared" si="22"/>
        <v>onwaar</v>
      </c>
      <c r="P63" s="28" t="str">
        <f t="shared" si="23"/>
        <v>onwaar</v>
      </c>
      <c r="Q63" s="28" t="str">
        <f t="shared" si="24"/>
        <v>onwaar</v>
      </c>
      <c r="R63" s="22"/>
    </row>
    <row r="64" spans="1:18" x14ac:dyDescent="0.3">
      <c r="A64" s="46" t="s">
        <v>205</v>
      </c>
      <c r="B64" s="49" t="s">
        <v>221</v>
      </c>
      <c r="C64" s="49" t="s">
        <v>221</v>
      </c>
      <c r="D64" s="49" t="s">
        <v>273</v>
      </c>
      <c r="E64" s="32" t="str">
        <f t="shared" si="0"/>
        <v>Onderzoek</v>
      </c>
      <c r="F64" s="28" t="str">
        <f t="shared" si="13"/>
        <v>onwaar</v>
      </c>
      <c r="G64" s="28" t="str">
        <f t="shared" si="14"/>
        <v>onwaar</v>
      </c>
      <c r="H64" s="28" t="str">
        <f t="shared" si="15"/>
        <v>onwaar</v>
      </c>
      <c r="I64" s="28" t="str">
        <f t="shared" si="16"/>
        <v>onwaar</v>
      </c>
      <c r="J64" s="28" t="str">
        <f t="shared" si="17"/>
        <v>onwaar</v>
      </c>
      <c r="K64" s="28" t="str">
        <f t="shared" si="18"/>
        <v>onwaar</v>
      </c>
      <c r="L64" s="28" t="str">
        <f t="shared" si="19"/>
        <v>onwaar</v>
      </c>
      <c r="M64" s="28" t="str">
        <f t="shared" si="20"/>
        <v>onwaar</v>
      </c>
      <c r="N64" s="28" t="str">
        <f t="shared" si="21"/>
        <v>onwaar</v>
      </c>
      <c r="O64" s="28" t="str">
        <f t="shared" si="22"/>
        <v>onwaar</v>
      </c>
      <c r="P64" s="28" t="str">
        <f t="shared" si="23"/>
        <v>onwaar</v>
      </c>
      <c r="Q64" s="28" t="str">
        <f t="shared" si="24"/>
        <v>onwaar</v>
      </c>
      <c r="R64" s="22"/>
    </row>
    <row r="65" spans="1:18" x14ac:dyDescent="0.3">
      <c r="A65" s="46" t="s">
        <v>205</v>
      </c>
      <c r="B65" s="49" t="s">
        <v>221</v>
      </c>
      <c r="C65" s="49" t="s">
        <v>221</v>
      </c>
      <c r="D65" s="49" t="s">
        <v>274</v>
      </c>
      <c r="E65" s="32" t="str">
        <f t="shared" si="0"/>
        <v>Onderzoek</v>
      </c>
      <c r="F65" s="28" t="str">
        <f t="shared" si="13"/>
        <v>onwaar</v>
      </c>
      <c r="G65" s="28" t="str">
        <f t="shared" si="14"/>
        <v>onwaar</v>
      </c>
      <c r="H65" s="28" t="str">
        <f t="shared" si="15"/>
        <v>onwaar</v>
      </c>
      <c r="I65" s="28" t="str">
        <f t="shared" si="16"/>
        <v>onwaar</v>
      </c>
      <c r="J65" s="28" t="str">
        <f t="shared" si="17"/>
        <v>onwaar</v>
      </c>
      <c r="K65" s="28" t="str">
        <f t="shared" si="18"/>
        <v>onwaar</v>
      </c>
      <c r="L65" s="28" t="str">
        <f t="shared" si="19"/>
        <v>onwaar</v>
      </c>
      <c r="M65" s="28" t="str">
        <f t="shared" si="20"/>
        <v>onwaar</v>
      </c>
      <c r="N65" s="28" t="str">
        <f t="shared" si="21"/>
        <v>onwaar</v>
      </c>
      <c r="O65" s="28" t="str">
        <f t="shared" si="22"/>
        <v>onwaar</v>
      </c>
      <c r="P65" s="28" t="str">
        <f t="shared" si="23"/>
        <v>onwaar</v>
      </c>
      <c r="Q65" s="28" t="str">
        <f t="shared" si="24"/>
        <v>onwaar</v>
      </c>
      <c r="R65" s="22"/>
    </row>
    <row r="66" spans="1:18" x14ac:dyDescent="0.3">
      <c r="A66" s="46" t="s">
        <v>205</v>
      </c>
      <c r="B66" s="49" t="s">
        <v>221</v>
      </c>
      <c r="C66" s="49" t="s">
        <v>221</v>
      </c>
      <c r="D66" s="49" t="s">
        <v>275</v>
      </c>
      <c r="E66" s="32" t="str">
        <f t="shared" ref="E66:E129" si="25">IF(A66="Live","Is Live", IF(A66="R&amp;D", "Onderzoek", IF(A66="Planned","Gepland","")))</f>
        <v>Onderzoek</v>
      </c>
      <c r="F66" s="28" t="str">
        <f t="shared" ref="F66:F97" si="26">IF(AND($F$1&gt;=$B66,$F$1&lt;$C66),$A66, "onwaar")</f>
        <v>onwaar</v>
      </c>
      <c r="G66" s="28" t="str">
        <f t="shared" ref="G66:G97" si="27">IF(AND($G$1&gt;=$B66,$G$1&lt;$C66),$A66, "onwaar")</f>
        <v>onwaar</v>
      </c>
      <c r="H66" s="28" t="str">
        <f t="shared" ref="H66:H97" si="28">IF(AND($H$1&gt;=$B66,$H$1&lt;$C66),$A66, "onwaar")</f>
        <v>onwaar</v>
      </c>
      <c r="I66" s="28" t="str">
        <f t="shared" ref="I66:I97" si="29">IF(AND($I$1&gt;=$B66,$I$1&lt;$C66),$A66, "onwaar")</f>
        <v>onwaar</v>
      </c>
      <c r="J66" s="28" t="str">
        <f t="shared" ref="J66:J97" si="30">IF(AND($J$1&gt;=$B66,$J$1&lt;$C66),$A66, "onwaar")</f>
        <v>onwaar</v>
      </c>
      <c r="K66" s="28" t="str">
        <f t="shared" ref="K66:K97" si="31">IF(AND($K$1&gt;=$B66,$K$1&lt;$C66),$A66, "onwaar")</f>
        <v>onwaar</v>
      </c>
      <c r="L66" s="28" t="str">
        <f t="shared" ref="L66:L97" si="32">IF(AND($L$1&gt;=$B66,$L$1&lt;$C66),$A66, "onwaar")</f>
        <v>onwaar</v>
      </c>
      <c r="M66" s="28" t="str">
        <f t="shared" ref="M66:M97" si="33">IF(AND($M$1&gt;=$B66,$M$1&lt;$C66),$A66, "onwaar")</f>
        <v>onwaar</v>
      </c>
      <c r="N66" s="28" t="str">
        <f t="shared" ref="N66:N97" si="34">IF(AND($N$1&gt;=$B66,$N$1&lt;$C66),$A66, "onwaar")</f>
        <v>onwaar</v>
      </c>
      <c r="O66" s="28" t="str">
        <f t="shared" ref="O66:O97" si="35">IF(AND($O$1&gt;=$B66,$O$1&lt;$C66),$A66, "onwaar")</f>
        <v>onwaar</v>
      </c>
      <c r="P66" s="28" t="str">
        <f t="shared" ref="P66:P97" si="36">IF(AND($P$1&gt;=$B66,$P$1&lt;$C66),$A66, "onwaar")</f>
        <v>onwaar</v>
      </c>
      <c r="Q66" s="28" t="str">
        <f t="shared" ref="Q66:Q97" si="37">IF(AND($Q$1&gt;=$B66,$Q$1&lt;$C66),$A66, "onwaar")</f>
        <v>onwaar</v>
      </c>
      <c r="R66" s="22"/>
    </row>
    <row r="67" spans="1:18" x14ac:dyDescent="0.3">
      <c r="A67" s="46" t="s">
        <v>205</v>
      </c>
      <c r="B67" s="49" t="s">
        <v>221</v>
      </c>
      <c r="C67" s="49" t="s">
        <v>221</v>
      </c>
      <c r="D67" s="49" t="s">
        <v>398</v>
      </c>
      <c r="E67" s="32" t="str">
        <f t="shared" si="25"/>
        <v>Onderzoek</v>
      </c>
      <c r="F67" s="28" t="str">
        <f t="shared" si="26"/>
        <v>onwaar</v>
      </c>
      <c r="G67" s="28" t="str">
        <f t="shared" si="27"/>
        <v>onwaar</v>
      </c>
      <c r="H67" s="28" t="str">
        <f t="shared" si="28"/>
        <v>onwaar</v>
      </c>
      <c r="I67" s="28" t="str">
        <f t="shared" si="29"/>
        <v>onwaar</v>
      </c>
      <c r="J67" s="28" t="str">
        <f t="shared" si="30"/>
        <v>onwaar</v>
      </c>
      <c r="K67" s="28" t="str">
        <f t="shared" si="31"/>
        <v>onwaar</v>
      </c>
      <c r="L67" s="28" t="str">
        <f t="shared" si="32"/>
        <v>onwaar</v>
      </c>
      <c r="M67" s="28" t="str">
        <f t="shared" si="33"/>
        <v>onwaar</v>
      </c>
      <c r="N67" s="28" t="str">
        <f t="shared" si="34"/>
        <v>onwaar</v>
      </c>
      <c r="O67" s="28" t="str">
        <f t="shared" si="35"/>
        <v>onwaar</v>
      </c>
      <c r="P67" s="28" t="str">
        <f t="shared" si="36"/>
        <v>onwaar</v>
      </c>
      <c r="Q67" s="28" t="str">
        <f t="shared" si="37"/>
        <v>onwaar</v>
      </c>
      <c r="R67" s="22"/>
    </row>
    <row r="68" spans="1:18" x14ac:dyDescent="0.3">
      <c r="A68" s="46" t="s">
        <v>205</v>
      </c>
      <c r="B68" s="49" t="s">
        <v>221</v>
      </c>
      <c r="C68" s="49" t="s">
        <v>221</v>
      </c>
      <c r="D68" s="49" t="s">
        <v>399</v>
      </c>
      <c r="E68" s="32" t="str">
        <f t="shared" si="25"/>
        <v>Onderzoek</v>
      </c>
      <c r="F68" s="28" t="str">
        <f t="shared" si="26"/>
        <v>onwaar</v>
      </c>
      <c r="G68" s="28" t="str">
        <f t="shared" si="27"/>
        <v>onwaar</v>
      </c>
      <c r="H68" s="28" t="str">
        <f t="shared" si="28"/>
        <v>onwaar</v>
      </c>
      <c r="I68" s="28" t="str">
        <f t="shared" si="29"/>
        <v>onwaar</v>
      </c>
      <c r="J68" s="28" t="str">
        <f t="shared" si="30"/>
        <v>onwaar</v>
      </c>
      <c r="K68" s="28" t="str">
        <f t="shared" si="31"/>
        <v>onwaar</v>
      </c>
      <c r="L68" s="28" t="str">
        <f t="shared" si="32"/>
        <v>onwaar</v>
      </c>
      <c r="M68" s="28" t="str">
        <f t="shared" si="33"/>
        <v>onwaar</v>
      </c>
      <c r="N68" s="28" t="str">
        <f t="shared" si="34"/>
        <v>onwaar</v>
      </c>
      <c r="O68" s="28" t="str">
        <f t="shared" si="35"/>
        <v>onwaar</v>
      </c>
      <c r="P68" s="28" t="str">
        <f t="shared" si="36"/>
        <v>onwaar</v>
      </c>
      <c r="Q68" s="28" t="str">
        <f t="shared" si="37"/>
        <v>onwaar</v>
      </c>
      <c r="R68" s="22"/>
    </row>
    <row r="69" spans="1:18" x14ac:dyDescent="0.3">
      <c r="A69" s="46" t="s">
        <v>205</v>
      </c>
      <c r="B69" s="49" t="s">
        <v>221</v>
      </c>
      <c r="C69" s="49" t="s">
        <v>221</v>
      </c>
      <c r="D69" s="49" t="s">
        <v>278</v>
      </c>
      <c r="E69" s="32" t="str">
        <f t="shared" si="25"/>
        <v>Onderzoek</v>
      </c>
      <c r="F69" s="28" t="str">
        <f t="shared" si="26"/>
        <v>onwaar</v>
      </c>
      <c r="G69" s="28" t="str">
        <f t="shared" si="27"/>
        <v>onwaar</v>
      </c>
      <c r="H69" s="28" t="str">
        <f t="shared" si="28"/>
        <v>onwaar</v>
      </c>
      <c r="I69" s="28" t="str">
        <f t="shared" si="29"/>
        <v>onwaar</v>
      </c>
      <c r="J69" s="28" t="str">
        <f t="shared" si="30"/>
        <v>onwaar</v>
      </c>
      <c r="K69" s="28" t="str">
        <f t="shared" si="31"/>
        <v>onwaar</v>
      </c>
      <c r="L69" s="28" t="str">
        <f t="shared" si="32"/>
        <v>onwaar</v>
      </c>
      <c r="M69" s="28" t="str">
        <f t="shared" si="33"/>
        <v>onwaar</v>
      </c>
      <c r="N69" s="28" t="str">
        <f t="shared" si="34"/>
        <v>onwaar</v>
      </c>
      <c r="O69" s="28" t="str">
        <f t="shared" si="35"/>
        <v>onwaar</v>
      </c>
      <c r="P69" s="28" t="str">
        <f t="shared" si="36"/>
        <v>onwaar</v>
      </c>
      <c r="Q69" s="28" t="str">
        <f t="shared" si="37"/>
        <v>onwaar</v>
      </c>
      <c r="R69" s="22"/>
    </row>
    <row r="70" spans="1:18" x14ac:dyDescent="0.3">
      <c r="A70" s="46" t="s">
        <v>205</v>
      </c>
      <c r="B70" s="49" t="s">
        <v>221</v>
      </c>
      <c r="C70" s="49" t="s">
        <v>221</v>
      </c>
      <c r="D70" s="49" t="s">
        <v>279</v>
      </c>
      <c r="E70" s="32" t="str">
        <f t="shared" si="25"/>
        <v>Onderzoek</v>
      </c>
      <c r="F70" s="28" t="str">
        <f t="shared" si="26"/>
        <v>onwaar</v>
      </c>
      <c r="G70" s="28" t="str">
        <f t="shared" si="27"/>
        <v>onwaar</v>
      </c>
      <c r="H70" s="28" t="str">
        <f t="shared" si="28"/>
        <v>onwaar</v>
      </c>
      <c r="I70" s="28" t="str">
        <f t="shared" si="29"/>
        <v>onwaar</v>
      </c>
      <c r="J70" s="28" t="str">
        <f t="shared" si="30"/>
        <v>onwaar</v>
      </c>
      <c r="K70" s="28" t="str">
        <f t="shared" si="31"/>
        <v>onwaar</v>
      </c>
      <c r="L70" s="28" t="str">
        <f t="shared" si="32"/>
        <v>onwaar</v>
      </c>
      <c r="M70" s="28" t="str">
        <f t="shared" si="33"/>
        <v>onwaar</v>
      </c>
      <c r="N70" s="28" t="str">
        <f t="shared" si="34"/>
        <v>onwaar</v>
      </c>
      <c r="O70" s="28" t="str">
        <f t="shared" si="35"/>
        <v>onwaar</v>
      </c>
      <c r="P70" s="28" t="str">
        <f t="shared" si="36"/>
        <v>onwaar</v>
      </c>
      <c r="Q70" s="28" t="str">
        <f t="shared" si="37"/>
        <v>onwaar</v>
      </c>
      <c r="R70" s="22"/>
    </row>
    <row r="71" spans="1:18" x14ac:dyDescent="0.3">
      <c r="A71" s="46" t="s">
        <v>205</v>
      </c>
      <c r="B71" s="49" t="s">
        <v>221</v>
      </c>
      <c r="C71" s="49" t="s">
        <v>221</v>
      </c>
      <c r="D71" s="49" t="s">
        <v>280</v>
      </c>
      <c r="E71" s="32" t="str">
        <f t="shared" si="25"/>
        <v>Onderzoek</v>
      </c>
      <c r="F71" s="28" t="str">
        <f t="shared" si="26"/>
        <v>onwaar</v>
      </c>
      <c r="G71" s="28" t="str">
        <f t="shared" si="27"/>
        <v>onwaar</v>
      </c>
      <c r="H71" s="28" t="str">
        <f t="shared" si="28"/>
        <v>onwaar</v>
      </c>
      <c r="I71" s="28" t="str">
        <f t="shared" si="29"/>
        <v>onwaar</v>
      </c>
      <c r="J71" s="28" t="str">
        <f t="shared" si="30"/>
        <v>onwaar</v>
      </c>
      <c r="K71" s="28" t="str">
        <f t="shared" si="31"/>
        <v>onwaar</v>
      </c>
      <c r="L71" s="28" t="str">
        <f t="shared" si="32"/>
        <v>onwaar</v>
      </c>
      <c r="M71" s="28" t="str">
        <f t="shared" si="33"/>
        <v>onwaar</v>
      </c>
      <c r="N71" s="28" t="str">
        <f t="shared" si="34"/>
        <v>onwaar</v>
      </c>
      <c r="O71" s="28" t="str">
        <f t="shared" si="35"/>
        <v>onwaar</v>
      </c>
      <c r="P71" s="28" t="str">
        <f t="shared" si="36"/>
        <v>onwaar</v>
      </c>
      <c r="Q71" s="28" t="str">
        <f t="shared" si="37"/>
        <v>onwaar</v>
      </c>
      <c r="R71" s="22"/>
    </row>
    <row r="72" spans="1:18" x14ac:dyDescent="0.3">
      <c r="A72" s="46" t="s">
        <v>205</v>
      </c>
      <c r="B72" s="49" t="s">
        <v>221</v>
      </c>
      <c r="C72" s="49" t="s">
        <v>221</v>
      </c>
      <c r="D72" s="49" t="s">
        <v>281</v>
      </c>
      <c r="E72" s="32" t="str">
        <f t="shared" si="25"/>
        <v>Onderzoek</v>
      </c>
      <c r="F72" s="28" t="str">
        <f t="shared" si="26"/>
        <v>onwaar</v>
      </c>
      <c r="G72" s="28" t="str">
        <f t="shared" si="27"/>
        <v>onwaar</v>
      </c>
      <c r="H72" s="28" t="str">
        <f t="shared" si="28"/>
        <v>onwaar</v>
      </c>
      <c r="I72" s="28" t="str">
        <f t="shared" si="29"/>
        <v>onwaar</v>
      </c>
      <c r="J72" s="28" t="str">
        <f t="shared" si="30"/>
        <v>onwaar</v>
      </c>
      <c r="K72" s="28" t="str">
        <f t="shared" si="31"/>
        <v>onwaar</v>
      </c>
      <c r="L72" s="28" t="str">
        <f t="shared" si="32"/>
        <v>onwaar</v>
      </c>
      <c r="M72" s="28" t="str">
        <f t="shared" si="33"/>
        <v>onwaar</v>
      </c>
      <c r="N72" s="28" t="str">
        <f t="shared" si="34"/>
        <v>onwaar</v>
      </c>
      <c r="O72" s="28" t="str">
        <f t="shared" si="35"/>
        <v>onwaar</v>
      </c>
      <c r="P72" s="28" t="str">
        <f t="shared" si="36"/>
        <v>onwaar</v>
      </c>
      <c r="Q72" s="28" t="str">
        <f t="shared" si="37"/>
        <v>onwaar</v>
      </c>
      <c r="R72" s="22"/>
    </row>
    <row r="73" spans="1:18" x14ac:dyDescent="0.3">
      <c r="A73" s="46" t="s">
        <v>205</v>
      </c>
      <c r="B73" s="49" t="s">
        <v>221</v>
      </c>
      <c r="C73" s="49" t="s">
        <v>221</v>
      </c>
      <c r="D73" s="49" t="s">
        <v>282</v>
      </c>
      <c r="E73" s="32" t="str">
        <f t="shared" si="25"/>
        <v>Onderzoek</v>
      </c>
      <c r="F73" s="28" t="str">
        <f t="shared" si="26"/>
        <v>onwaar</v>
      </c>
      <c r="G73" s="28" t="str">
        <f t="shared" si="27"/>
        <v>onwaar</v>
      </c>
      <c r="H73" s="28" t="str">
        <f t="shared" si="28"/>
        <v>onwaar</v>
      </c>
      <c r="I73" s="28" t="str">
        <f t="shared" si="29"/>
        <v>onwaar</v>
      </c>
      <c r="J73" s="28" t="str">
        <f t="shared" si="30"/>
        <v>onwaar</v>
      </c>
      <c r="K73" s="28" t="str">
        <f t="shared" si="31"/>
        <v>onwaar</v>
      </c>
      <c r="L73" s="28" t="str">
        <f t="shared" si="32"/>
        <v>onwaar</v>
      </c>
      <c r="M73" s="28" t="str">
        <f t="shared" si="33"/>
        <v>onwaar</v>
      </c>
      <c r="N73" s="28" t="str">
        <f t="shared" si="34"/>
        <v>onwaar</v>
      </c>
      <c r="O73" s="28" t="str">
        <f t="shared" si="35"/>
        <v>onwaar</v>
      </c>
      <c r="P73" s="28" t="str">
        <f t="shared" si="36"/>
        <v>onwaar</v>
      </c>
      <c r="Q73" s="28" t="str">
        <f t="shared" si="37"/>
        <v>onwaar</v>
      </c>
      <c r="R73" s="22"/>
    </row>
    <row r="74" spans="1:18" x14ac:dyDescent="0.3">
      <c r="A74" s="46" t="s">
        <v>205</v>
      </c>
      <c r="B74" s="49" t="s">
        <v>221</v>
      </c>
      <c r="C74" s="49" t="s">
        <v>221</v>
      </c>
      <c r="D74" s="49" t="s">
        <v>283</v>
      </c>
      <c r="E74" s="32" t="str">
        <f t="shared" si="25"/>
        <v>Onderzoek</v>
      </c>
      <c r="F74" s="28" t="str">
        <f t="shared" si="26"/>
        <v>onwaar</v>
      </c>
      <c r="G74" s="28" t="str">
        <f t="shared" si="27"/>
        <v>onwaar</v>
      </c>
      <c r="H74" s="28" t="str">
        <f t="shared" si="28"/>
        <v>onwaar</v>
      </c>
      <c r="I74" s="28" t="str">
        <f t="shared" si="29"/>
        <v>onwaar</v>
      </c>
      <c r="J74" s="28" t="str">
        <f t="shared" si="30"/>
        <v>onwaar</v>
      </c>
      <c r="K74" s="28" t="str">
        <f t="shared" si="31"/>
        <v>onwaar</v>
      </c>
      <c r="L74" s="28" t="str">
        <f t="shared" si="32"/>
        <v>onwaar</v>
      </c>
      <c r="M74" s="28" t="str">
        <f t="shared" si="33"/>
        <v>onwaar</v>
      </c>
      <c r="N74" s="28" t="str">
        <f t="shared" si="34"/>
        <v>onwaar</v>
      </c>
      <c r="O74" s="28" t="str">
        <f t="shared" si="35"/>
        <v>onwaar</v>
      </c>
      <c r="P74" s="28" t="str">
        <f t="shared" si="36"/>
        <v>onwaar</v>
      </c>
      <c r="Q74" s="28" t="str">
        <f t="shared" si="37"/>
        <v>onwaar</v>
      </c>
      <c r="R74" s="22"/>
    </row>
    <row r="75" spans="1:18" x14ac:dyDescent="0.3">
      <c r="A75" s="46" t="s">
        <v>205</v>
      </c>
      <c r="B75" s="49" t="s">
        <v>221</v>
      </c>
      <c r="C75" s="49" t="s">
        <v>221</v>
      </c>
      <c r="D75" s="49" t="s">
        <v>284</v>
      </c>
      <c r="E75" s="32" t="str">
        <f t="shared" si="25"/>
        <v>Onderzoek</v>
      </c>
      <c r="F75" s="28" t="str">
        <f t="shared" si="26"/>
        <v>onwaar</v>
      </c>
      <c r="G75" s="28" t="str">
        <f t="shared" si="27"/>
        <v>onwaar</v>
      </c>
      <c r="H75" s="28" t="str">
        <f t="shared" si="28"/>
        <v>onwaar</v>
      </c>
      <c r="I75" s="28" t="str">
        <f t="shared" si="29"/>
        <v>onwaar</v>
      </c>
      <c r="J75" s="28" t="str">
        <f t="shared" si="30"/>
        <v>onwaar</v>
      </c>
      <c r="K75" s="28" t="str">
        <f t="shared" si="31"/>
        <v>onwaar</v>
      </c>
      <c r="L75" s="28" t="str">
        <f t="shared" si="32"/>
        <v>onwaar</v>
      </c>
      <c r="M75" s="28" t="str">
        <f t="shared" si="33"/>
        <v>onwaar</v>
      </c>
      <c r="N75" s="28" t="str">
        <f t="shared" si="34"/>
        <v>onwaar</v>
      </c>
      <c r="O75" s="28" t="str">
        <f t="shared" si="35"/>
        <v>onwaar</v>
      </c>
      <c r="P75" s="28" t="str">
        <f t="shared" si="36"/>
        <v>onwaar</v>
      </c>
      <c r="Q75" s="28" t="str">
        <f t="shared" si="37"/>
        <v>onwaar</v>
      </c>
      <c r="R75" s="22"/>
    </row>
    <row r="76" spans="1:18" x14ac:dyDescent="0.3">
      <c r="A76" s="46" t="s">
        <v>205</v>
      </c>
      <c r="B76" s="49" t="s">
        <v>221</v>
      </c>
      <c r="C76" s="49" t="s">
        <v>221</v>
      </c>
      <c r="D76" s="49" t="s">
        <v>285</v>
      </c>
      <c r="E76" s="32" t="str">
        <f t="shared" si="25"/>
        <v>Onderzoek</v>
      </c>
      <c r="F76" s="28" t="str">
        <f t="shared" si="26"/>
        <v>onwaar</v>
      </c>
      <c r="G76" s="28" t="str">
        <f t="shared" si="27"/>
        <v>onwaar</v>
      </c>
      <c r="H76" s="28" t="str">
        <f t="shared" si="28"/>
        <v>onwaar</v>
      </c>
      <c r="I76" s="28" t="str">
        <f t="shared" si="29"/>
        <v>onwaar</v>
      </c>
      <c r="J76" s="28" t="str">
        <f t="shared" si="30"/>
        <v>onwaar</v>
      </c>
      <c r="K76" s="28" t="str">
        <f t="shared" si="31"/>
        <v>onwaar</v>
      </c>
      <c r="L76" s="28" t="str">
        <f t="shared" si="32"/>
        <v>onwaar</v>
      </c>
      <c r="M76" s="28" t="str">
        <f t="shared" si="33"/>
        <v>onwaar</v>
      </c>
      <c r="N76" s="28" t="str">
        <f t="shared" si="34"/>
        <v>onwaar</v>
      </c>
      <c r="O76" s="28" t="str">
        <f t="shared" si="35"/>
        <v>onwaar</v>
      </c>
      <c r="P76" s="28" t="str">
        <f t="shared" si="36"/>
        <v>onwaar</v>
      </c>
      <c r="Q76" s="28" t="str">
        <f t="shared" si="37"/>
        <v>onwaar</v>
      </c>
      <c r="R76" s="22"/>
    </row>
    <row r="77" spans="1:18" x14ac:dyDescent="0.3">
      <c r="A77" s="46" t="s">
        <v>205</v>
      </c>
      <c r="B77" s="49" t="s">
        <v>221</v>
      </c>
      <c r="C77" s="49" t="s">
        <v>221</v>
      </c>
      <c r="D77" s="49" t="s">
        <v>286</v>
      </c>
      <c r="E77" s="32" t="str">
        <f t="shared" si="25"/>
        <v>Onderzoek</v>
      </c>
      <c r="F77" s="28" t="str">
        <f t="shared" si="26"/>
        <v>onwaar</v>
      </c>
      <c r="G77" s="28" t="str">
        <f t="shared" si="27"/>
        <v>onwaar</v>
      </c>
      <c r="H77" s="28" t="str">
        <f t="shared" si="28"/>
        <v>onwaar</v>
      </c>
      <c r="I77" s="28" t="str">
        <f t="shared" si="29"/>
        <v>onwaar</v>
      </c>
      <c r="J77" s="28" t="str">
        <f t="shared" si="30"/>
        <v>onwaar</v>
      </c>
      <c r="K77" s="28" t="str">
        <f t="shared" si="31"/>
        <v>onwaar</v>
      </c>
      <c r="L77" s="28" t="str">
        <f t="shared" si="32"/>
        <v>onwaar</v>
      </c>
      <c r="M77" s="28" t="str">
        <f t="shared" si="33"/>
        <v>onwaar</v>
      </c>
      <c r="N77" s="28" t="str">
        <f t="shared" si="34"/>
        <v>onwaar</v>
      </c>
      <c r="O77" s="28" t="str">
        <f t="shared" si="35"/>
        <v>onwaar</v>
      </c>
      <c r="P77" s="28" t="str">
        <f t="shared" si="36"/>
        <v>onwaar</v>
      </c>
      <c r="Q77" s="28" t="str">
        <f t="shared" si="37"/>
        <v>onwaar</v>
      </c>
      <c r="R77" s="22"/>
    </row>
    <row r="78" spans="1:18" x14ac:dyDescent="0.3">
      <c r="A78" s="46" t="s">
        <v>205</v>
      </c>
      <c r="B78" s="49" t="s">
        <v>221</v>
      </c>
      <c r="C78" s="49" t="s">
        <v>221</v>
      </c>
      <c r="D78" s="49" t="s">
        <v>287</v>
      </c>
      <c r="E78" s="32" t="str">
        <f t="shared" si="25"/>
        <v>Onderzoek</v>
      </c>
      <c r="F78" s="28" t="str">
        <f t="shared" si="26"/>
        <v>onwaar</v>
      </c>
      <c r="G78" s="28" t="str">
        <f t="shared" si="27"/>
        <v>onwaar</v>
      </c>
      <c r="H78" s="28" t="str">
        <f t="shared" si="28"/>
        <v>onwaar</v>
      </c>
      <c r="I78" s="28" t="str">
        <f t="shared" si="29"/>
        <v>onwaar</v>
      </c>
      <c r="J78" s="28" t="str">
        <f t="shared" si="30"/>
        <v>onwaar</v>
      </c>
      <c r="K78" s="28" t="str">
        <f t="shared" si="31"/>
        <v>onwaar</v>
      </c>
      <c r="L78" s="28" t="str">
        <f t="shared" si="32"/>
        <v>onwaar</v>
      </c>
      <c r="M78" s="28" t="str">
        <f t="shared" si="33"/>
        <v>onwaar</v>
      </c>
      <c r="N78" s="28" t="str">
        <f t="shared" si="34"/>
        <v>onwaar</v>
      </c>
      <c r="O78" s="28" t="str">
        <f t="shared" si="35"/>
        <v>onwaar</v>
      </c>
      <c r="P78" s="28" t="str">
        <f t="shared" si="36"/>
        <v>onwaar</v>
      </c>
      <c r="Q78" s="28" t="str">
        <f t="shared" si="37"/>
        <v>onwaar</v>
      </c>
      <c r="R78" s="22"/>
    </row>
    <row r="79" spans="1:18" x14ac:dyDescent="0.3">
      <c r="A79" s="46" t="s">
        <v>205</v>
      </c>
      <c r="B79" s="49" t="s">
        <v>221</v>
      </c>
      <c r="C79" s="49" t="s">
        <v>221</v>
      </c>
      <c r="D79" s="49" t="s">
        <v>288</v>
      </c>
      <c r="E79" s="32" t="str">
        <f t="shared" si="25"/>
        <v>Onderzoek</v>
      </c>
      <c r="F79" s="28" t="str">
        <f t="shared" si="26"/>
        <v>onwaar</v>
      </c>
      <c r="G79" s="28" t="str">
        <f t="shared" si="27"/>
        <v>onwaar</v>
      </c>
      <c r="H79" s="28" t="str">
        <f t="shared" si="28"/>
        <v>onwaar</v>
      </c>
      <c r="I79" s="28" t="str">
        <f t="shared" si="29"/>
        <v>onwaar</v>
      </c>
      <c r="J79" s="28" t="str">
        <f t="shared" si="30"/>
        <v>onwaar</v>
      </c>
      <c r="K79" s="28" t="str">
        <f t="shared" si="31"/>
        <v>onwaar</v>
      </c>
      <c r="L79" s="28" t="str">
        <f t="shared" si="32"/>
        <v>onwaar</v>
      </c>
      <c r="M79" s="28" t="str">
        <f t="shared" si="33"/>
        <v>onwaar</v>
      </c>
      <c r="N79" s="28" t="str">
        <f t="shared" si="34"/>
        <v>onwaar</v>
      </c>
      <c r="O79" s="28" t="str">
        <f t="shared" si="35"/>
        <v>onwaar</v>
      </c>
      <c r="P79" s="28" t="str">
        <f t="shared" si="36"/>
        <v>onwaar</v>
      </c>
      <c r="Q79" s="28" t="str">
        <f t="shared" si="37"/>
        <v>onwaar</v>
      </c>
      <c r="R79" s="22"/>
    </row>
    <row r="80" spans="1:18" x14ac:dyDescent="0.3">
      <c r="A80" s="46" t="s">
        <v>205</v>
      </c>
      <c r="B80" s="49" t="s">
        <v>221</v>
      </c>
      <c r="C80" s="49" t="s">
        <v>221</v>
      </c>
      <c r="D80" s="49" t="s">
        <v>289</v>
      </c>
      <c r="E80" s="32" t="str">
        <f t="shared" si="25"/>
        <v>Onderzoek</v>
      </c>
      <c r="F80" s="28" t="str">
        <f t="shared" si="26"/>
        <v>onwaar</v>
      </c>
      <c r="G80" s="28" t="str">
        <f t="shared" si="27"/>
        <v>onwaar</v>
      </c>
      <c r="H80" s="28" t="str">
        <f t="shared" si="28"/>
        <v>onwaar</v>
      </c>
      <c r="I80" s="28" t="str">
        <f t="shared" si="29"/>
        <v>onwaar</v>
      </c>
      <c r="J80" s="28" t="str">
        <f t="shared" si="30"/>
        <v>onwaar</v>
      </c>
      <c r="K80" s="28" t="str">
        <f t="shared" si="31"/>
        <v>onwaar</v>
      </c>
      <c r="L80" s="28" t="str">
        <f t="shared" si="32"/>
        <v>onwaar</v>
      </c>
      <c r="M80" s="28" t="str">
        <f t="shared" si="33"/>
        <v>onwaar</v>
      </c>
      <c r="N80" s="28" t="str">
        <f t="shared" si="34"/>
        <v>onwaar</v>
      </c>
      <c r="O80" s="28" t="str">
        <f t="shared" si="35"/>
        <v>onwaar</v>
      </c>
      <c r="P80" s="28" t="str">
        <f t="shared" si="36"/>
        <v>onwaar</v>
      </c>
      <c r="Q80" s="28" t="str">
        <f t="shared" si="37"/>
        <v>onwaar</v>
      </c>
      <c r="R80" s="22"/>
    </row>
    <row r="81" spans="1:18" x14ac:dyDescent="0.3">
      <c r="A81" s="46" t="s">
        <v>205</v>
      </c>
      <c r="B81" s="49" t="s">
        <v>221</v>
      </c>
      <c r="C81" s="49" t="s">
        <v>221</v>
      </c>
      <c r="D81" s="49" t="s">
        <v>400</v>
      </c>
      <c r="E81" s="32" t="str">
        <f t="shared" si="25"/>
        <v>Onderzoek</v>
      </c>
      <c r="F81" s="28" t="str">
        <f t="shared" si="26"/>
        <v>onwaar</v>
      </c>
      <c r="G81" s="28" t="str">
        <f t="shared" si="27"/>
        <v>onwaar</v>
      </c>
      <c r="H81" s="28" t="str">
        <f t="shared" si="28"/>
        <v>onwaar</v>
      </c>
      <c r="I81" s="28" t="str">
        <f t="shared" si="29"/>
        <v>onwaar</v>
      </c>
      <c r="J81" s="28" t="str">
        <f t="shared" si="30"/>
        <v>onwaar</v>
      </c>
      <c r="K81" s="28" t="str">
        <f t="shared" si="31"/>
        <v>onwaar</v>
      </c>
      <c r="L81" s="28" t="str">
        <f t="shared" si="32"/>
        <v>onwaar</v>
      </c>
      <c r="M81" s="28" t="str">
        <f t="shared" si="33"/>
        <v>onwaar</v>
      </c>
      <c r="N81" s="28" t="str">
        <f t="shared" si="34"/>
        <v>onwaar</v>
      </c>
      <c r="O81" s="28" t="str">
        <f t="shared" si="35"/>
        <v>onwaar</v>
      </c>
      <c r="P81" s="28" t="str">
        <f t="shared" si="36"/>
        <v>onwaar</v>
      </c>
      <c r="Q81" s="28" t="str">
        <f t="shared" si="37"/>
        <v>onwaar</v>
      </c>
      <c r="R81" s="22"/>
    </row>
    <row r="82" spans="1:18" x14ac:dyDescent="0.3">
      <c r="A82" s="46" t="s">
        <v>205</v>
      </c>
      <c r="B82" s="49" t="s">
        <v>221</v>
      </c>
      <c r="C82" s="49" t="s">
        <v>221</v>
      </c>
      <c r="D82" s="49" t="s">
        <v>290</v>
      </c>
      <c r="E82" s="32" t="str">
        <f t="shared" si="25"/>
        <v>Onderzoek</v>
      </c>
      <c r="F82" s="28" t="str">
        <f t="shared" si="26"/>
        <v>onwaar</v>
      </c>
      <c r="G82" s="28" t="str">
        <f t="shared" si="27"/>
        <v>onwaar</v>
      </c>
      <c r="H82" s="28" t="str">
        <f t="shared" si="28"/>
        <v>onwaar</v>
      </c>
      <c r="I82" s="28" t="str">
        <f t="shared" si="29"/>
        <v>onwaar</v>
      </c>
      <c r="J82" s="28" t="str">
        <f t="shared" si="30"/>
        <v>onwaar</v>
      </c>
      <c r="K82" s="28" t="str">
        <f t="shared" si="31"/>
        <v>onwaar</v>
      </c>
      <c r="L82" s="28" t="str">
        <f t="shared" si="32"/>
        <v>onwaar</v>
      </c>
      <c r="M82" s="28" t="str">
        <f t="shared" si="33"/>
        <v>onwaar</v>
      </c>
      <c r="N82" s="28" t="str">
        <f t="shared" si="34"/>
        <v>onwaar</v>
      </c>
      <c r="O82" s="28" t="str">
        <f t="shared" si="35"/>
        <v>onwaar</v>
      </c>
      <c r="P82" s="28" t="str">
        <f t="shared" si="36"/>
        <v>onwaar</v>
      </c>
      <c r="Q82" s="28" t="str">
        <f t="shared" si="37"/>
        <v>onwaar</v>
      </c>
      <c r="R82" s="22"/>
    </row>
    <row r="83" spans="1:18" x14ac:dyDescent="0.3">
      <c r="A83" s="46" t="s">
        <v>205</v>
      </c>
      <c r="B83" s="49" t="s">
        <v>221</v>
      </c>
      <c r="C83" s="49" t="s">
        <v>221</v>
      </c>
      <c r="D83" s="49" t="s">
        <v>291</v>
      </c>
      <c r="E83" s="32" t="str">
        <f t="shared" si="25"/>
        <v>Onderzoek</v>
      </c>
      <c r="F83" s="28" t="str">
        <f t="shared" si="26"/>
        <v>onwaar</v>
      </c>
      <c r="G83" s="28" t="str">
        <f t="shared" si="27"/>
        <v>onwaar</v>
      </c>
      <c r="H83" s="28" t="str">
        <f t="shared" si="28"/>
        <v>onwaar</v>
      </c>
      <c r="I83" s="28" t="str">
        <f t="shared" si="29"/>
        <v>onwaar</v>
      </c>
      <c r="J83" s="28" t="str">
        <f t="shared" si="30"/>
        <v>onwaar</v>
      </c>
      <c r="K83" s="28" t="str">
        <f t="shared" si="31"/>
        <v>onwaar</v>
      </c>
      <c r="L83" s="28" t="str">
        <f t="shared" si="32"/>
        <v>onwaar</v>
      </c>
      <c r="M83" s="28" t="str">
        <f t="shared" si="33"/>
        <v>onwaar</v>
      </c>
      <c r="N83" s="28" t="str">
        <f t="shared" si="34"/>
        <v>onwaar</v>
      </c>
      <c r="O83" s="28" t="str">
        <f t="shared" si="35"/>
        <v>onwaar</v>
      </c>
      <c r="P83" s="28" t="str">
        <f t="shared" si="36"/>
        <v>onwaar</v>
      </c>
      <c r="Q83" s="28" t="str">
        <f t="shared" si="37"/>
        <v>onwaar</v>
      </c>
      <c r="R83" s="22"/>
    </row>
    <row r="84" spans="1:18" x14ac:dyDescent="0.3">
      <c r="A84" s="46" t="s">
        <v>205</v>
      </c>
      <c r="B84" s="49" t="s">
        <v>221</v>
      </c>
      <c r="C84" s="49" t="s">
        <v>221</v>
      </c>
      <c r="D84" s="49" t="s">
        <v>293</v>
      </c>
      <c r="E84" s="32" t="str">
        <f t="shared" si="25"/>
        <v>Onderzoek</v>
      </c>
      <c r="F84" s="28" t="str">
        <f t="shared" si="26"/>
        <v>onwaar</v>
      </c>
      <c r="G84" s="28" t="str">
        <f t="shared" si="27"/>
        <v>onwaar</v>
      </c>
      <c r="H84" s="28" t="str">
        <f t="shared" si="28"/>
        <v>onwaar</v>
      </c>
      <c r="I84" s="28" t="str">
        <f t="shared" si="29"/>
        <v>onwaar</v>
      </c>
      <c r="J84" s="28" t="str">
        <f t="shared" si="30"/>
        <v>onwaar</v>
      </c>
      <c r="K84" s="28" t="str">
        <f t="shared" si="31"/>
        <v>onwaar</v>
      </c>
      <c r="L84" s="28" t="str">
        <f t="shared" si="32"/>
        <v>onwaar</v>
      </c>
      <c r="M84" s="28" t="str">
        <f t="shared" si="33"/>
        <v>onwaar</v>
      </c>
      <c r="N84" s="28" t="str">
        <f t="shared" si="34"/>
        <v>onwaar</v>
      </c>
      <c r="O84" s="28" t="str">
        <f t="shared" si="35"/>
        <v>onwaar</v>
      </c>
      <c r="P84" s="28" t="str">
        <f t="shared" si="36"/>
        <v>onwaar</v>
      </c>
      <c r="Q84" s="28" t="str">
        <f t="shared" si="37"/>
        <v>onwaar</v>
      </c>
      <c r="R84" s="22"/>
    </row>
    <row r="85" spans="1:18" x14ac:dyDescent="0.3">
      <c r="A85" s="46" t="s">
        <v>205</v>
      </c>
      <c r="B85" s="49" t="s">
        <v>221</v>
      </c>
      <c r="C85" s="49" t="s">
        <v>221</v>
      </c>
      <c r="D85" s="49" t="s">
        <v>294</v>
      </c>
      <c r="E85" s="32" t="str">
        <f t="shared" si="25"/>
        <v>Onderzoek</v>
      </c>
      <c r="F85" s="28" t="str">
        <f t="shared" si="26"/>
        <v>onwaar</v>
      </c>
      <c r="G85" s="28" t="str">
        <f t="shared" si="27"/>
        <v>onwaar</v>
      </c>
      <c r="H85" s="28" t="str">
        <f t="shared" si="28"/>
        <v>onwaar</v>
      </c>
      <c r="I85" s="28" t="str">
        <f t="shared" si="29"/>
        <v>onwaar</v>
      </c>
      <c r="J85" s="28" t="str">
        <f t="shared" si="30"/>
        <v>onwaar</v>
      </c>
      <c r="K85" s="28" t="str">
        <f t="shared" si="31"/>
        <v>onwaar</v>
      </c>
      <c r="L85" s="28" t="str">
        <f t="shared" si="32"/>
        <v>onwaar</v>
      </c>
      <c r="M85" s="28" t="str">
        <f t="shared" si="33"/>
        <v>onwaar</v>
      </c>
      <c r="N85" s="28" t="str">
        <f t="shared" si="34"/>
        <v>onwaar</v>
      </c>
      <c r="O85" s="28" t="str">
        <f t="shared" si="35"/>
        <v>onwaar</v>
      </c>
      <c r="P85" s="28" t="str">
        <f t="shared" si="36"/>
        <v>onwaar</v>
      </c>
      <c r="Q85" s="28" t="str">
        <f t="shared" si="37"/>
        <v>onwaar</v>
      </c>
      <c r="R85" s="22"/>
    </row>
    <row r="86" spans="1:18" x14ac:dyDescent="0.3">
      <c r="A86" s="46" t="s">
        <v>205</v>
      </c>
      <c r="B86" s="49" t="s">
        <v>221</v>
      </c>
      <c r="C86" s="49" t="s">
        <v>221</v>
      </c>
      <c r="D86" s="49" t="s">
        <v>295</v>
      </c>
      <c r="E86" s="32" t="str">
        <f t="shared" si="25"/>
        <v>Onderzoek</v>
      </c>
      <c r="F86" s="28" t="str">
        <f t="shared" si="26"/>
        <v>onwaar</v>
      </c>
      <c r="G86" s="28" t="str">
        <f t="shared" si="27"/>
        <v>onwaar</v>
      </c>
      <c r="H86" s="28" t="str">
        <f t="shared" si="28"/>
        <v>onwaar</v>
      </c>
      <c r="I86" s="28" t="str">
        <f t="shared" si="29"/>
        <v>onwaar</v>
      </c>
      <c r="J86" s="28" t="str">
        <f t="shared" si="30"/>
        <v>onwaar</v>
      </c>
      <c r="K86" s="28" t="str">
        <f t="shared" si="31"/>
        <v>onwaar</v>
      </c>
      <c r="L86" s="28" t="str">
        <f t="shared" si="32"/>
        <v>onwaar</v>
      </c>
      <c r="M86" s="28" t="str">
        <f t="shared" si="33"/>
        <v>onwaar</v>
      </c>
      <c r="N86" s="28" t="str">
        <f t="shared" si="34"/>
        <v>onwaar</v>
      </c>
      <c r="O86" s="28" t="str">
        <f t="shared" si="35"/>
        <v>onwaar</v>
      </c>
      <c r="P86" s="28" t="str">
        <f t="shared" si="36"/>
        <v>onwaar</v>
      </c>
      <c r="Q86" s="28" t="str">
        <f t="shared" si="37"/>
        <v>onwaar</v>
      </c>
      <c r="R86" s="22"/>
    </row>
    <row r="87" spans="1:18" x14ac:dyDescent="0.3">
      <c r="A87" s="46" t="s">
        <v>205</v>
      </c>
      <c r="B87" s="49" t="s">
        <v>221</v>
      </c>
      <c r="C87" s="49" t="s">
        <v>221</v>
      </c>
      <c r="D87" s="49" t="s">
        <v>299</v>
      </c>
      <c r="E87" s="32" t="str">
        <f t="shared" si="25"/>
        <v>Onderzoek</v>
      </c>
      <c r="F87" s="28" t="str">
        <f t="shared" si="26"/>
        <v>onwaar</v>
      </c>
      <c r="G87" s="28" t="str">
        <f t="shared" si="27"/>
        <v>onwaar</v>
      </c>
      <c r="H87" s="28" t="str">
        <f t="shared" si="28"/>
        <v>onwaar</v>
      </c>
      <c r="I87" s="28" t="str">
        <f t="shared" si="29"/>
        <v>onwaar</v>
      </c>
      <c r="J87" s="28" t="str">
        <f t="shared" si="30"/>
        <v>onwaar</v>
      </c>
      <c r="K87" s="28" t="str">
        <f t="shared" si="31"/>
        <v>onwaar</v>
      </c>
      <c r="L87" s="28" t="str">
        <f t="shared" si="32"/>
        <v>onwaar</v>
      </c>
      <c r="M87" s="28" t="str">
        <f t="shared" si="33"/>
        <v>onwaar</v>
      </c>
      <c r="N87" s="28" t="str">
        <f t="shared" si="34"/>
        <v>onwaar</v>
      </c>
      <c r="O87" s="28" t="str">
        <f t="shared" si="35"/>
        <v>onwaar</v>
      </c>
      <c r="P87" s="28" t="str">
        <f t="shared" si="36"/>
        <v>onwaar</v>
      </c>
      <c r="Q87" s="28" t="str">
        <f t="shared" si="37"/>
        <v>onwaar</v>
      </c>
      <c r="R87" s="22"/>
    </row>
    <row r="88" spans="1:18" x14ac:dyDescent="0.3">
      <c r="A88" s="46" t="s">
        <v>205</v>
      </c>
      <c r="B88" s="49" t="s">
        <v>221</v>
      </c>
      <c r="C88" s="49" t="s">
        <v>221</v>
      </c>
      <c r="D88" s="49" t="s">
        <v>300</v>
      </c>
      <c r="E88" s="32" t="str">
        <f t="shared" si="25"/>
        <v>Onderzoek</v>
      </c>
      <c r="F88" s="28" t="str">
        <f t="shared" si="26"/>
        <v>onwaar</v>
      </c>
      <c r="G88" s="28" t="str">
        <f t="shared" si="27"/>
        <v>onwaar</v>
      </c>
      <c r="H88" s="28" t="str">
        <f t="shared" si="28"/>
        <v>onwaar</v>
      </c>
      <c r="I88" s="28" t="str">
        <f t="shared" si="29"/>
        <v>onwaar</v>
      </c>
      <c r="J88" s="28" t="str">
        <f t="shared" si="30"/>
        <v>onwaar</v>
      </c>
      <c r="K88" s="28" t="str">
        <f t="shared" si="31"/>
        <v>onwaar</v>
      </c>
      <c r="L88" s="28" t="str">
        <f t="shared" si="32"/>
        <v>onwaar</v>
      </c>
      <c r="M88" s="28" t="str">
        <f t="shared" si="33"/>
        <v>onwaar</v>
      </c>
      <c r="N88" s="28" t="str">
        <f t="shared" si="34"/>
        <v>onwaar</v>
      </c>
      <c r="O88" s="28" t="str">
        <f t="shared" si="35"/>
        <v>onwaar</v>
      </c>
      <c r="P88" s="28" t="str">
        <f t="shared" si="36"/>
        <v>onwaar</v>
      </c>
      <c r="Q88" s="28" t="str">
        <f t="shared" si="37"/>
        <v>onwaar</v>
      </c>
      <c r="R88" s="22"/>
    </row>
    <row r="89" spans="1:18" x14ac:dyDescent="0.3">
      <c r="A89" s="46" t="s">
        <v>205</v>
      </c>
      <c r="B89" s="49" t="s">
        <v>221</v>
      </c>
      <c r="C89" s="49" t="s">
        <v>221</v>
      </c>
      <c r="D89" s="49" t="s">
        <v>301</v>
      </c>
      <c r="E89" s="32" t="str">
        <f t="shared" si="25"/>
        <v>Onderzoek</v>
      </c>
      <c r="F89" s="28" t="str">
        <f t="shared" si="26"/>
        <v>onwaar</v>
      </c>
      <c r="G89" s="28" t="str">
        <f t="shared" si="27"/>
        <v>onwaar</v>
      </c>
      <c r="H89" s="28" t="str">
        <f t="shared" si="28"/>
        <v>onwaar</v>
      </c>
      <c r="I89" s="28" t="str">
        <f t="shared" si="29"/>
        <v>onwaar</v>
      </c>
      <c r="J89" s="28" t="str">
        <f t="shared" si="30"/>
        <v>onwaar</v>
      </c>
      <c r="K89" s="28" t="str">
        <f t="shared" si="31"/>
        <v>onwaar</v>
      </c>
      <c r="L89" s="28" t="str">
        <f t="shared" si="32"/>
        <v>onwaar</v>
      </c>
      <c r="M89" s="28" t="str">
        <f t="shared" si="33"/>
        <v>onwaar</v>
      </c>
      <c r="N89" s="28" t="str">
        <f t="shared" si="34"/>
        <v>onwaar</v>
      </c>
      <c r="O89" s="28" t="str">
        <f t="shared" si="35"/>
        <v>onwaar</v>
      </c>
      <c r="P89" s="28" t="str">
        <f t="shared" si="36"/>
        <v>onwaar</v>
      </c>
      <c r="Q89" s="28" t="str">
        <f t="shared" si="37"/>
        <v>onwaar</v>
      </c>
      <c r="R89" s="22"/>
    </row>
    <row r="90" spans="1:18" x14ac:dyDescent="0.3">
      <c r="A90" s="46" t="s">
        <v>205</v>
      </c>
      <c r="B90" s="49" t="s">
        <v>221</v>
      </c>
      <c r="C90" s="49" t="s">
        <v>221</v>
      </c>
      <c r="D90" s="49" t="s">
        <v>302</v>
      </c>
      <c r="E90" s="32" t="str">
        <f t="shared" si="25"/>
        <v>Onderzoek</v>
      </c>
      <c r="F90" s="28" t="str">
        <f t="shared" si="26"/>
        <v>onwaar</v>
      </c>
      <c r="G90" s="28" t="str">
        <f t="shared" si="27"/>
        <v>onwaar</v>
      </c>
      <c r="H90" s="28" t="str">
        <f t="shared" si="28"/>
        <v>onwaar</v>
      </c>
      <c r="I90" s="28" t="str">
        <f t="shared" si="29"/>
        <v>onwaar</v>
      </c>
      <c r="J90" s="28" t="str">
        <f t="shared" si="30"/>
        <v>onwaar</v>
      </c>
      <c r="K90" s="28" t="str">
        <f t="shared" si="31"/>
        <v>onwaar</v>
      </c>
      <c r="L90" s="28" t="str">
        <f t="shared" si="32"/>
        <v>onwaar</v>
      </c>
      <c r="M90" s="28" t="str">
        <f t="shared" si="33"/>
        <v>onwaar</v>
      </c>
      <c r="N90" s="28" t="str">
        <f t="shared" si="34"/>
        <v>onwaar</v>
      </c>
      <c r="O90" s="28" t="str">
        <f t="shared" si="35"/>
        <v>onwaar</v>
      </c>
      <c r="P90" s="28" t="str">
        <f t="shared" si="36"/>
        <v>onwaar</v>
      </c>
      <c r="Q90" s="28" t="str">
        <f t="shared" si="37"/>
        <v>onwaar</v>
      </c>
      <c r="R90" s="22"/>
    </row>
    <row r="91" spans="1:18" x14ac:dyDescent="0.3">
      <c r="A91" s="46" t="s">
        <v>205</v>
      </c>
      <c r="B91" s="49" t="s">
        <v>221</v>
      </c>
      <c r="C91" s="49" t="s">
        <v>221</v>
      </c>
      <c r="D91" s="49" t="s">
        <v>303</v>
      </c>
      <c r="E91" s="32" t="str">
        <f t="shared" si="25"/>
        <v>Onderzoek</v>
      </c>
      <c r="F91" s="28" t="str">
        <f t="shared" si="26"/>
        <v>onwaar</v>
      </c>
      <c r="G91" s="28" t="str">
        <f t="shared" si="27"/>
        <v>onwaar</v>
      </c>
      <c r="H91" s="28" t="str">
        <f t="shared" si="28"/>
        <v>onwaar</v>
      </c>
      <c r="I91" s="28" t="str">
        <f t="shared" si="29"/>
        <v>onwaar</v>
      </c>
      <c r="J91" s="28" t="str">
        <f t="shared" si="30"/>
        <v>onwaar</v>
      </c>
      <c r="K91" s="28" t="str">
        <f t="shared" si="31"/>
        <v>onwaar</v>
      </c>
      <c r="L91" s="28" t="str">
        <f t="shared" si="32"/>
        <v>onwaar</v>
      </c>
      <c r="M91" s="28" t="str">
        <f t="shared" si="33"/>
        <v>onwaar</v>
      </c>
      <c r="N91" s="28" t="str">
        <f t="shared" si="34"/>
        <v>onwaar</v>
      </c>
      <c r="O91" s="28" t="str">
        <f t="shared" si="35"/>
        <v>onwaar</v>
      </c>
      <c r="P91" s="28" t="str">
        <f t="shared" si="36"/>
        <v>onwaar</v>
      </c>
      <c r="Q91" s="28" t="str">
        <f t="shared" si="37"/>
        <v>onwaar</v>
      </c>
      <c r="R91" s="22"/>
    </row>
    <row r="92" spans="1:18" x14ac:dyDescent="0.3">
      <c r="A92" s="46" t="s">
        <v>205</v>
      </c>
      <c r="B92" s="49" t="s">
        <v>221</v>
      </c>
      <c r="C92" s="49" t="s">
        <v>221</v>
      </c>
      <c r="D92" s="49" t="s">
        <v>304</v>
      </c>
      <c r="E92" s="32" t="str">
        <f t="shared" si="25"/>
        <v>Onderzoek</v>
      </c>
      <c r="F92" s="28" t="str">
        <f t="shared" si="26"/>
        <v>onwaar</v>
      </c>
      <c r="G92" s="28" t="str">
        <f t="shared" si="27"/>
        <v>onwaar</v>
      </c>
      <c r="H92" s="28" t="str">
        <f t="shared" si="28"/>
        <v>onwaar</v>
      </c>
      <c r="I92" s="28" t="str">
        <f t="shared" si="29"/>
        <v>onwaar</v>
      </c>
      <c r="J92" s="28" t="str">
        <f t="shared" si="30"/>
        <v>onwaar</v>
      </c>
      <c r="K92" s="28" t="str">
        <f t="shared" si="31"/>
        <v>onwaar</v>
      </c>
      <c r="L92" s="28" t="str">
        <f t="shared" si="32"/>
        <v>onwaar</v>
      </c>
      <c r="M92" s="28" t="str">
        <f t="shared" si="33"/>
        <v>onwaar</v>
      </c>
      <c r="N92" s="28" t="str">
        <f t="shared" si="34"/>
        <v>onwaar</v>
      </c>
      <c r="O92" s="28" t="str">
        <f t="shared" si="35"/>
        <v>onwaar</v>
      </c>
      <c r="P92" s="28" t="str">
        <f t="shared" si="36"/>
        <v>onwaar</v>
      </c>
      <c r="Q92" s="28" t="str">
        <f t="shared" si="37"/>
        <v>onwaar</v>
      </c>
      <c r="R92" s="22"/>
    </row>
    <row r="93" spans="1:18" x14ac:dyDescent="0.3">
      <c r="A93" s="46" t="s">
        <v>205</v>
      </c>
      <c r="B93" s="49" t="s">
        <v>221</v>
      </c>
      <c r="C93" s="49" t="s">
        <v>221</v>
      </c>
      <c r="D93" s="49" t="s">
        <v>305</v>
      </c>
      <c r="E93" s="32" t="str">
        <f t="shared" si="25"/>
        <v>Onderzoek</v>
      </c>
      <c r="F93" s="28" t="str">
        <f t="shared" si="26"/>
        <v>onwaar</v>
      </c>
      <c r="G93" s="28" t="str">
        <f t="shared" si="27"/>
        <v>onwaar</v>
      </c>
      <c r="H93" s="28" t="str">
        <f t="shared" si="28"/>
        <v>onwaar</v>
      </c>
      <c r="I93" s="28" t="str">
        <f t="shared" si="29"/>
        <v>onwaar</v>
      </c>
      <c r="J93" s="28" t="str">
        <f t="shared" si="30"/>
        <v>onwaar</v>
      </c>
      <c r="K93" s="28" t="str">
        <f t="shared" si="31"/>
        <v>onwaar</v>
      </c>
      <c r="L93" s="28" t="str">
        <f t="shared" si="32"/>
        <v>onwaar</v>
      </c>
      <c r="M93" s="28" t="str">
        <f t="shared" si="33"/>
        <v>onwaar</v>
      </c>
      <c r="N93" s="28" t="str">
        <f t="shared" si="34"/>
        <v>onwaar</v>
      </c>
      <c r="O93" s="28" t="str">
        <f t="shared" si="35"/>
        <v>onwaar</v>
      </c>
      <c r="P93" s="28" t="str">
        <f t="shared" si="36"/>
        <v>onwaar</v>
      </c>
      <c r="Q93" s="28" t="str">
        <f t="shared" si="37"/>
        <v>onwaar</v>
      </c>
      <c r="R93" s="22"/>
    </row>
    <row r="94" spans="1:18" x14ac:dyDescent="0.3">
      <c r="A94" s="46" t="s">
        <v>205</v>
      </c>
      <c r="B94" s="49" t="s">
        <v>221</v>
      </c>
      <c r="C94" s="49" t="s">
        <v>221</v>
      </c>
      <c r="D94" s="49" t="s">
        <v>307</v>
      </c>
      <c r="E94" s="32" t="str">
        <f t="shared" si="25"/>
        <v>Onderzoek</v>
      </c>
      <c r="F94" s="28" t="str">
        <f t="shared" si="26"/>
        <v>onwaar</v>
      </c>
      <c r="G94" s="28" t="str">
        <f t="shared" si="27"/>
        <v>onwaar</v>
      </c>
      <c r="H94" s="28" t="str">
        <f t="shared" si="28"/>
        <v>onwaar</v>
      </c>
      <c r="I94" s="28" t="str">
        <f t="shared" si="29"/>
        <v>onwaar</v>
      </c>
      <c r="J94" s="28" t="str">
        <f t="shared" si="30"/>
        <v>onwaar</v>
      </c>
      <c r="K94" s="28" t="str">
        <f t="shared" si="31"/>
        <v>onwaar</v>
      </c>
      <c r="L94" s="28" t="str">
        <f t="shared" si="32"/>
        <v>onwaar</v>
      </c>
      <c r="M94" s="28" t="str">
        <f t="shared" si="33"/>
        <v>onwaar</v>
      </c>
      <c r="N94" s="28" t="str">
        <f t="shared" si="34"/>
        <v>onwaar</v>
      </c>
      <c r="O94" s="28" t="str">
        <f t="shared" si="35"/>
        <v>onwaar</v>
      </c>
      <c r="P94" s="28" t="str">
        <f t="shared" si="36"/>
        <v>onwaar</v>
      </c>
      <c r="Q94" s="28" t="str">
        <f t="shared" si="37"/>
        <v>onwaar</v>
      </c>
      <c r="R94" s="22"/>
    </row>
    <row r="95" spans="1:18" x14ac:dyDescent="0.3">
      <c r="A95" s="46" t="s">
        <v>205</v>
      </c>
      <c r="B95" s="49" t="s">
        <v>221</v>
      </c>
      <c r="C95" s="49" t="s">
        <v>221</v>
      </c>
      <c r="D95" s="49" t="s">
        <v>308</v>
      </c>
      <c r="E95" s="32" t="str">
        <f t="shared" si="25"/>
        <v>Onderzoek</v>
      </c>
      <c r="F95" s="28" t="str">
        <f t="shared" si="26"/>
        <v>onwaar</v>
      </c>
      <c r="G95" s="28" t="str">
        <f t="shared" si="27"/>
        <v>onwaar</v>
      </c>
      <c r="H95" s="28" t="str">
        <f t="shared" si="28"/>
        <v>onwaar</v>
      </c>
      <c r="I95" s="28" t="str">
        <f t="shared" si="29"/>
        <v>onwaar</v>
      </c>
      <c r="J95" s="28" t="str">
        <f t="shared" si="30"/>
        <v>onwaar</v>
      </c>
      <c r="K95" s="28" t="str">
        <f t="shared" si="31"/>
        <v>onwaar</v>
      </c>
      <c r="L95" s="28" t="str">
        <f t="shared" si="32"/>
        <v>onwaar</v>
      </c>
      <c r="M95" s="28" t="str">
        <f t="shared" si="33"/>
        <v>onwaar</v>
      </c>
      <c r="N95" s="28" t="str">
        <f t="shared" si="34"/>
        <v>onwaar</v>
      </c>
      <c r="O95" s="28" t="str">
        <f t="shared" si="35"/>
        <v>onwaar</v>
      </c>
      <c r="P95" s="28" t="str">
        <f t="shared" si="36"/>
        <v>onwaar</v>
      </c>
      <c r="Q95" s="28" t="str">
        <f t="shared" si="37"/>
        <v>onwaar</v>
      </c>
      <c r="R95" s="22"/>
    </row>
    <row r="96" spans="1:18" x14ac:dyDescent="0.3">
      <c r="A96" s="46" t="s">
        <v>205</v>
      </c>
      <c r="B96" s="49" t="s">
        <v>221</v>
      </c>
      <c r="C96" s="49" t="s">
        <v>221</v>
      </c>
      <c r="D96" s="49" t="s">
        <v>309</v>
      </c>
      <c r="E96" s="32" t="str">
        <f t="shared" si="25"/>
        <v>Onderzoek</v>
      </c>
      <c r="F96" s="28" t="str">
        <f t="shared" si="26"/>
        <v>onwaar</v>
      </c>
      <c r="G96" s="28" t="str">
        <f t="shared" si="27"/>
        <v>onwaar</v>
      </c>
      <c r="H96" s="28" t="str">
        <f t="shared" si="28"/>
        <v>onwaar</v>
      </c>
      <c r="I96" s="28" t="str">
        <f t="shared" si="29"/>
        <v>onwaar</v>
      </c>
      <c r="J96" s="28" t="str">
        <f t="shared" si="30"/>
        <v>onwaar</v>
      </c>
      <c r="K96" s="28" t="str">
        <f t="shared" si="31"/>
        <v>onwaar</v>
      </c>
      <c r="L96" s="28" t="str">
        <f t="shared" si="32"/>
        <v>onwaar</v>
      </c>
      <c r="M96" s="28" t="str">
        <f t="shared" si="33"/>
        <v>onwaar</v>
      </c>
      <c r="N96" s="28" t="str">
        <f t="shared" si="34"/>
        <v>onwaar</v>
      </c>
      <c r="O96" s="28" t="str">
        <f t="shared" si="35"/>
        <v>onwaar</v>
      </c>
      <c r="P96" s="28" t="str">
        <f t="shared" si="36"/>
        <v>onwaar</v>
      </c>
      <c r="Q96" s="28" t="str">
        <f t="shared" si="37"/>
        <v>onwaar</v>
      </c>
      <c r="R96" s="22"/>
    </row>
    <row r="97" spans="1:18" x14ac:dyDescent="0.3">
      <c r="A97" s="46" t="s">
        <v>205</v>
      </c>
      <c r="B97" s="49" t="s">
        <v>221</v>
      </c>
      <c r="C97" s="49" t="s">
        <v>221</v>
      </c>
      <c r="D97" s="49" t="s">
        <v>310</v>
      </c>
      <c r="E97" s="32" t="str">
        <f t="shared" si="25"/>
        <v>Onderzoek</v>
      </c>
      <c r="F97" s="28" t="str">
        <f t="shared" si="26"/>
        <v>onwaar</v>
      </c>
      <c r="G97" s="28" t="str">
        <f t="shared" si="27"/>
        <v>onwaar</v>
      </c>
      <c r="H97" s="28" t="str">
        <f t="shared" si="28"/>
        <v>onwaar</v>
      </c>
      <c r="I97" s="28" t="str">
        <f t="shared" si="29"/>
        <v>onwaar</v>
      </c>
      <c r="J97" s="28" t="str">
        <f t="shared" si="30"/>
        <v>onwaar</v>
      </c>
      <c r="K97" s="28" t="str">
        <f t="shared" si="31"/>
        <v>onwaar</v>
      </c>
      <c r="L97" s="28" t="str">
        <f t="shared" si="32"/>
        <v>onwaar</v>
      </c>
      <c r="M97" s="28" t="str">
        <f t="shared" si="33"/>
        <v>onwaar</v>
      </c>
      <c r="N97" s="28" t="str">
        <f t="shared" si="34"/>
        <v>onwaar</v>
      </c>
      <c r="O97" s="28" t="str">
        <f t="shared" si="35"/>
        <v>onwaar</v>
      </c>
      <c r="P97" s="28" t="str">
        <f t="shared" si="36"/>
        <v>onwaar</v>
      </c>
      <c r="Q97" s="28" t="str">
        <f t="shared" si="37"/>
        <v>onwaar</v>
      </c>
      <c r="R97" s="22"/>
    </row>
    <row r="98" spans="1:18" x14ac:dyDescent="0.3">
      <c r="A98" s="46" t="s">
        <v>205</v>
      </c>
      <c r="B98" s="49" t="s">
        <v>221</v>
      </c>
      <c r="C98" s="49" t="s">
        <v>221</v>
      </c>
      <c r="D98" s="49" t="s">
        <v>311</v>
      </c>
      <c r="E98" s="32" t="str">
        <f t="shared" si="25"/>
        <v>Onderzoek</v>
      </c>
      <c r="F98" s="28" t="str">
        <f t="shared" ref="F98:F131" si="38">IF(AND($F$1&gt;=$B98,$F$1&lt;$C98),$A98, "onwaar")</f>
        <v>onwaar</v>
      </c>
      <c r="G98" s="28" t="str">
        <f t="shared" ref="G98:G131" si="39">IF(AND($G$1&gt;=$B98,$G$1&lt;$C98),$A98, "onwaar")</f>
        <v>onwaar</v>
      </c>
      <c r="H98" s="28" t="str">
        <f t="shared" ref="H98:H131" si="40">IF(AND($H$1&gt;=$B98,$H$1&lt;$C98),$A98, "onwaar")</f>
        <v>onwaar</v>
      </c>
      <c r="I98" s="28" t="str">
        <f t="shared" ref="I98:I131" si="41">IF(AND($I$1&gt;=$B98,$I$1&lt;$C98),$A98, "onwaar")</f>
        <v>onwaar</v>
      </c>
      <c r="J98" s="28" t="str">
        <f t="shared" ref="J98:J131" si="42">IF(AND($J$1&gt;=$B98,$J$1&lt;$C98),$A98, "onwaar")</f>
        <v>onwaar</v>
      </c>
      <c r="K98" s="28" t="str">
        <f t="shared" ref="K98:K131" si="43">IF(AND($K$1&gt;=$B98,$K$1&lt;$C98),$A98, "onwaar")</f>
        <v>onwaar</v>
      </c>
      <c r="L98" s="28" t="str">
        <f t="shared" ref="L98:L131" si="44">IF(AND($L$1&gt;=$B98,$L$1&lt;$C98),$A98, "onwaar")</f>
        <v>onwaar</v>
      </c>
      <c r="M98" s="28" t="str">
        <f t="shared" ref="M98:M131" si="45">IF(AND($M$1&gt;=$B98,$M$1&lt;$C98),$A98, "onwaar")</f>
        <v>onwaar</v>
      </c>
      <c r="N98" s="28" t="str">
        <f t="shared" ref="N98:N131" si="46">IF(AND($N$1&gt;=$B98,$N$1&lt;$C98),$A98, "onwaar")</f>
        <v>onwaar</v>
      </c>
      <c r="O98" s="28" t="str">
        <f t="shared" ref="O98:O131" si="47">IF(AND($O$1&gt;=$B98,$O$1&lt;$C98),$A98, "onwaar")</f>
        <v>onwaar</v>
      </c>
      <c r="P98" s="28" t="str">
        <f t="shared" ref="P98:P131" si="48">IF(AND($P$1&gt;=$B98,$P$1&lt;$C98),$A98, "onwaar")</f>
        <v>onwaar</v>
      </c>
      <c r="Q98" s="28" t="str">
        <f t="shared" ref="Q98:Q131" si="49">IF(AND($Q$1&gt;=$B98,$Q$1&lt;$C98),$A98, "onwaar")</f>
        <v>onwaar</v>
      </c>
      <c r="R98" s="22"/>
    </row>
    <row r="99" spans="1:18" x14ac:dyDescent="0.3">
      <c r="A99" s="46" t="s">
        <v>205</v>
      </c>
      <c r="B99" s="49" t="s">
        <v>221</v>
      </c>
      <c r="C99" s="49" t="s">
        <v>221</v>
      </c>
      <c r="D99" s="49" t="s">
        <v>401</v>
      </c>
      <c r="E99" s="32" t="str">
        <f t="shared" si="25"/>
        <v>Onderzoek</v>
      </c>
      <c r="F99" s="28" t="str">
        <f t="shared" si="38"/>
        <v>onwaar</v>
      </c>
      <c r="G99" s="28" t="str">
        <f t="shared" si="39"/>
        <v>onwaar</v>
      </c>
      <c r="H99" s="28" t="str">
        <f t="shared" si="40"/>
        <v>onwaar</v>
      </c>
      <c r="I99" s="28" t="str">
        <f t="shared" si="41"/>
        <v>onwaar</v>
      </c>
      <c r="J99" s="28" t="str">
        <f t="shared" si="42"/>
        <v>onwaar</v>
      </c>
      <c r="K99" s="28" t="str">
        <f t="shared" si="43"/>
        <v>onwaar</v>
      </c>
      <c r="L99" s="28" t="str">
        <f t="shared" si="44"/>
        <v>onwaar</v>
      </c>
      <c r="M99" s="28" t="str">
        <f t="shared" si="45"/>
        <v>onwaar</v>
      </c>
      <c r="N99" s="28" t="str">
        <f t="shared" si="46"/>
        <v>onwaar</v>
      </c>
      <c r="O99" s="28" t="str">
        <f t="shared" si="47"/>
        <v>onwaar</v>
      </c>
      <c r="P99" s="28" t="str">
        <f t="shared" si="48"/>
        <v>onwaar</v>
      </c>
      <c r="Q99" s="28" t="str">
        <f t="shared" si="49"/>
        <v>onwaar</v>
      </c>
      <c r="R99" s="22"/>
    </row>
    <row r="100" spans="1:18" x14ac:dyDescent="0.3">
      <c r="A100" s="46" t="s">
        <v>205</v>
      </c>
      <c r="B100" s="49" t="s">
        <v>221</v>
      </c>
      <c r="C100" s="49" t="s">
        <v>221</v>
      </c>
      <c r="D100" s="49" t="s">
        <v>312</v>
      </c>
      <c r="E100" s="32" t="str">
        <f t="shared" si="25"/>
        <v>Onderzoek</v>
      </c>
      <c r="F100" s="28" t="str">
        <f t="shared" si="38"/>
        <v>onwaar</v>
      </c>
      <c r="G100" s="28" t="str">
        <f t="shared" si="39"/>
        <v>onwaar</v>
      </c>
      <c r="H100" s="28" t="str">
        <f t="shared" si="40"/>
        <v>onwaar</v>
      </c>
      <c r="I100" s="28" t="str">
        <f t="shared" si="41"/>
        <v>onwaar</v>
      </c>
      <c r="J100" s="28" t="str">
        <f t="shared" si="42"/>
        <v>onwaar</v>
      </c>
      <c r="K100" s="28" t="str">
        <f t="shared" si="43"/>
        <v>onwaar</v>
      </c>
      <c r="L100" s="28" t="str">
        <f t="shared" si="44"/>
        <v>onwaar</v>
      </c>
      <c r="M100" s="28" t="str">
        <f t="shared" si="45"/>
        <v>onwaar</v>
      </c>
      <c r="N100" s="28" t="str">
        <f t="shared" si="46"/>
        <v>onwaar</v>
      </c>
      <c r="O100" s="28" t="str">
        <f t="shared" si="47"/>
        <v>onwaar</v>
      </c>
      <c r="P100" s="28" t="str">
        <f t="shared" si="48"/>
        <v>onwaar</v>
      </c>
      <c r="Q100" s="28" t="str">
        <f t="shared" si="49"/>
        <v>onwaar</v>
      </c>
      <c r="R100" s="22"/>
    </row>
    <row r="101" spans="1:18" x14ac:dyDescent="0.3">
      <c r="A101" s="46" t="s">
        <v>205</v>
      </c>
      <c r="B101" s="49" t="s">
        <v>221</v>
      </c>
      <c r="C101" s="49" t="s">
        <v>221</v>
      </c>
      <c r="D101" s="49" t="s">
        <v>313</v>
      </c>
      <c r="E101" s="32" t="str">
        <f t="shared" si="25"/>
        <v>Onderzoek</v>
      </c>
      <c r="F101" s="28" t="str">
        <f t="shared" si="38"/>
        <v>onwaar</v>
      </c>
      <c r="G101" s="28" t="str">
        <f t="shared" si="39"/>
        <v>onwaar</v>
      </c>
      <c r="H101" s="28" t="str">
        <f t="shared" si="40"/>
        <v>onwaar</v>
      </c>
      <c r="I101" s="28" t="str">
        <f t="shared" si="41"/>
        <v>onwaar</v>
      </c>
      <c r="J101" s="28" t="str">
        <f t="shared" si="42"/>
        <v>onwaar</v>
      </c>
      <c r="K101" s="28" t="str">
        <f t="shared" si="43"/>
        <v>onwaar</v>
      </c>
      <c r="L101" s="28" t="str">
        <f t="shared" si="44"/>
        <v>onwaar</v>
      </c>
      <c r="M101" s="28" t="str">
        <f t="shared" si="45"/>
        <v>onwaar</v>
      </c>
      <c r="N101" s="28" t="str">
        <f t="shared" si="46"/>
        <v>onwaar</v>
      </c>
      <c r="O101" s="28" t="str">
        <f t="shared" si="47"/>
        <v>onwaar</v>
      </c>
      <c r="P101" s="28" t="str">
        <f t="shared" si="48"/>
        <v>onwaar</v>
      </c>
      <c r="Q101" s="28" t="str">
        <f t="shared" si="49"/>
        <v>onwaar</v>
      </c>
      <c r="R101" s="22"/>
    </row>
    <row r="102" spans="1:18" x14ac:dyDescent="0.3">
      <c r="A102" s="46" t="s">
        <v>205</v>
      </c>
      <c r="B102" s="49" t="s">
        <v>221</v>
      </c>
      <c r="C102" s="49" t="s">
        <v>221</v>
      </c>
      <c r="D102" s="49" t="s">
        <v>314</v>
      </c>
      <c r="E102" s="32" t="str">
        <f t="shared" si="25"/>
        <v>Onderzoek</v>
      </c>
      <c r="F102" s="28" t="str">
        <f t="shared" si="38"/>
        <v>onwaar</v>
      </c>
      <c r="G102" s="28" t="str">
        <f t="shared" si="39"/>
        <v>onwaar</v>
      </c>
      <c r="H102" s="28" t="str">
        <f t="shared" si="40"/>
        <v>onwaar</v>
      </c>
      <c r="I102" s="28" t="str">
        <f t="shared" si="41"/>
        <v>onwaar</v>
      </c>
      <c r="J102" s="28" t="str">
        <f t="shared" si="42"/>
        <v>onwaar</v>
      </c>
      <c r="K102" s="28" t="str">
        <f t="shared" si="43"/>
        <v>onwaar</v>
      </c>
      <c r="L102" s="28" t="str">
        <f t="shared" si="44"/>
        <v>onwaar</v>
      </c>
      <c r="M102" s="28" t="str">
        <f t="shared" si="45"/>
        <v>onwaar</v>
      </c>
      <c r="N102" s="28" t="str">
        <f t="shared" si="46"/>
        <v>onwaar</v>
      </c>
      <c r="O102" s="28" t="str">
        <f t="shared" si="47"/>
        <v>onwaar</v>
      </c>
      <c r="P102" s="28" t="str">
        <f t="shared" si="48"/>
        <v>onwaar</v>
      </c>
      <c r="Q102" s="28" t="str">
        <f t="shared" si="49"/>
        <v>onwaar</v>
      </c>
      <c r="R102" s="22"/>
    </row>
    <row r="103" spans="1:18" x14ac:dyDescent="0.3">
      <c r="A103" s="46" t="s">
        <v>205</v>
      </c>
      <c r="B103" s="49" t="s">
        <v>221</v>
      </c>
      <c r="C103" s="49" t="s">
        <v>221</v>
      </c>
      <c r="D103" s="49" t="s">
        <v>402</v>
      </c>
      <c r="E103" s="32" t="str">
        <f t="shared" si="25"/>
        <v>Onderzoek</v>
      </c>
      <c r="F103" s="28" t="str">
        <f t="shared" si="38"/>
        <v>onwaar</v>
      </c>
      <c r="G103" s="28" t="str">
        <f t="shared" si="39"/>
        <v>onwaar</v>
      </c>
      <c r="H103" s="28" t="str">
        <f t="shared" si="40"/>
        <v>onwaar</v>
      </c>
      <c r="I103" s="28" t="str">
        <f t="shared" si="41"/>
        <v>onwaar</v>
      </c>
      <c r="J103" s="28" t="str">
        <f t="shared" si="42"/>
        <v>onwaar</v>
      </c>
      <c r="K103" s="28" t="str">
        <f t="shared" si="43"/>
        <v>onwaar</v>
      </c>
      <c r="L103" s="28" t="str">
        <f t="shared" si="44"/>
        <v>onwaar</v>
      </c>
      <c r="M103" s="28" t="str">
        <f t="shared" si="45"/>
        <v>onwaar</v>
      </c>
      <c r="N103" s="28" t="str">
        <f t="shared" si="46"/>
        <v>onwaar</v>
      </c>
      <c r="O103" s="28" t="str">
        <f t="shared" si="47"/>
        <v>onwaar</v>
      </c>
      <c r="P103" s="28" t="str">
        <f t="shared" si="48"/>
        <v>onwaar</v>
      </c>
      <c r="Q103" s="28" t="str">
        <f t="shared" si="49"/>
        <v>onwaar</v>
      </c>
      <c r="R103" s="22"/>
    </row>
    <row r="104" spans="1:18" x14ac:dyDescent="0.3">
      <c r="A104" s="46" t="s">
        <v>205</v>
      </c>
      <c r="B104" s="49" t="s">
        <v>221</v>
      </c>
      <c r="C104" s="49" t="s">
        <v>221</v>
      </c>
      <c r="D104" s="49" t="s">
        <v>315</v>
      </c>
      <c r="E104" s="32" t="str">
        <f t="shared" si="25"/>
        <v>Onderzoek</v>
      </c>
      <c r="F104" s="28" t="str">
        <f t="shared" si="38"/>
        <v>onwaar</v>
      </c>
      <c r="G104" s="28" t="str">
        <f t="shared" si="39"/>
        <v>onwaar</v>
      </c>
      <c r="H104" s="28" t="str">
        <f t="shared" si="40"/>
        <v>onwaar</v>
      </c>
      <c r="I104" s="28" t="str">
        <f t="shared" si="41"/>
        <v>onwaar</v>
      </c>
      <c r="J104" s="28" t="str">
        <f t="shared" si="42"/>
        <v>onwaar</v>
      </c>
      <c r="K104" s="28" t="str">
        <f t="shared" si="43"/>
        <v>onwaar</v>
      </c>
      <c r="L104" s="28" t="str">
        <f t="shared" si="44"/>
        <v>onwaar</v>
      </c>
      <c r="M104" s="28" t="str">
        <f t="shared" si="45"/>
        <v>onwaar</v>
      </c>
      <c r="N104" s="28" t="str">
        <f t="shared" si="46"/>
        <v>onwaar</v>
      </c>
      <c r="O104" s="28" t="str">
        <f t="shared" si="47"/>
        <v>onwaar</v>
      </c>
      <c r="P104" s="28" t="str">
        <f t="shared" si="48"/>
        <v>onwaar</v>
      </c>
      <c r="Q104" s="28" t="str">
        <f t="shared" si="49"/>
        <v>onwaar</v>
      </c>
      <c r="R104" s="22"/>
    </row>
    <row r="105" spans="1:18" x14ac:dyDescent="0.3">
      <c r="A105" s="46" t="s">
        <v>205</v>
      </c>
      <c r="B105" s="49" t="s">
        <v>221</v>
      </c>
      <c r="C105" s="49" t="s">
        <v>221</v>
      </c>
      <c r="D105" s="49" t="s">
        <v>316</v>
      </c>
      <c r="E105" s="32" t="str">
        <f t="shared" si="25"/>
        <v>Onderzoek</v>
      </c>
      <c r="F105" s="28" t="str">
        <f t="shared" si="38"/>
        <v>onwaar</v>
      </c>
      <c r="G105" s="28" t="str">
        <f t="shared" si="39"/>
        <v>onwaar</v>
      </c>
      <c r="H105" s="28" t="str">
        <f t="shared" si="40"/>
        <v>onwaar</v>
      </c>
      <c r="I105" s="28" t="str">
        <f t="shared" si="41"/>
        <v>onwaar</v>
      </c>
      <c r="J105" s="28" t="str">
        <f t="shared" si="42"/>
        <v>onwaar</v>
      </c>
      <c r="K105" s="28" t="str">
        <f t="shared" si="43"/>
        <v>onwaar</v>
      </c>
      <c r="L105" s="28" t="str">
        <f t="shared" si="44"/>
        <v>onwaar</v>
      </c>
      <c r="M105" s="28" t="str">
        <f t="shared" si="45"/>
        <v>onwaar</v>
      </c>
      <c r="N105" s="28" t="str">
        <f t="shared" si="46"/>
        <v>onwaar</v>
      </c>
      <c r="O105" s="28" t="str">
        <f t="shared" si="47"/>
        <v>onwaar</v>
      </c>
      <c r="P105" s="28" t="str">
        <f t="shared" si="48"/>
        <v>onwaar</v>
      </c>
      <c r="Q105" s="28" t="str">
        <f t="shared" si="49"/>
        <v>onwaar</v>
      </c>
      <c r="R105" s="22"/>
    </row>
    <row r="106" spans="1:18" x14ac:dyDescent="0.3">
      <c r="A106" s="46" t="s">
        <v>205</v>
      </c>
      <c r="B106" s="49" t="s">
        <v>221</v>
      </c>
      <c r="C106" s="49" t="s">
        <v>221</v>
      </c>
      <c r="D106" s="49" t="s">
        <v>317</v>
      </c>
      <c r="E106" s="32" t="str">
        <f t="shared" si="25"/>
        <v>Onderzoek</v>
      </c>
      <c r="F106" s="28" t="str">
        <f t="shared" si="38"/>
        <v>onwaar</v>
      </c>
      <c r="G106" s="28" t="str">
        <f t="shared" si="39"/>
        <v>onwaar</v>
      </c>
      <c r="H106" s="28" t="str">
        <f t="shared" si="40"/>
        <v>onwaar</v>
      </c>
      <c r="I106" s="28" t="str">
        <f t="shared" si="41"/>
        <v>onwaar</v>
      </c>
      <c r="J106" s="28" t="str">
        <f t="shared" si="42"/>
        <v>onwaar</v>
      </c>
      <c r="K106" s="28" t="str">
        <f t="shared" si="43"/>
        <v>onwaar</v>
      </c>
      <c r="L106" s="28" t="str">
        <f t="shared" si="44"/>
        <v>onwaar</v>
      </c>
      <c r="M106" s="28" t="str">
        <f t="shared" si="45"/>
        <v>onwaar</v>
      </c>
      <c r="N106" s="28" t="str">
        <f t="shared" si="46"/>
        <v>onwaar</v>
      </c>
      <c r="O106" s="28" t="str">
        <f t="shared" si="47"/>
        <v>onwaar</v>
      </c>
      <c r="P106" s="28" t="str">
        <f t="shared" si="48"/>
        <v>onwaar</v>
      </c>
      <c r="Q106" s="28" t="str">
        <f t="shared" si="49"/>
        <v>onwaar</v>
      </c>
      <c r="R106" s="22"/>
    </row>
    <row r="107" spans="1:18" x14ac:dyDescent="0.3">
      <c r="A107" s="46" t="s">
        <v>205</v>
      </c>
      <c r="B107" s="49" t="s">
        <v>221</v>
      </c>
      <c r="C107" s="49" t="s">
        <v>221</v>
      </c>
      <c r="D107" s="49" t="s">
        <v>318</v>
      </c>
      <c r="E107" s="32" t="str">
        <f t="shared" si="25"/>
        <v>Onderzoek</v>
      </c>
      <c r="F107" s="28" t="str">
        <f t="shared" si="38"/>
        <v>onwaar</v>
      </c>
      <c r="G107" s="28" t="str">
        <f t="shared" si="39"/>
        <v>onwaar</v>
      </c>
      <c r="H107" s="28" t="str">
        <f t="shared" si="40"/>
        <v>onwaar</v>
      </c>
      <c r="I107" s="28" t="str">
        <f t="shared" si="41"/>
        <v>onwaar</v>
      </c>
      <c r="J107" s="28" t="str">
        <f t="shared" si="42"/>
        <v>onwaar</v>
      </c>
      <c r="K107" s="28" t="str">
        <f t="shared" si="43"/>
        <v>onwaar</v>
      </c>
      <c r="L107" s="28" t="str">
        <f t="shared" si="44"/>
        <v>onwaar</v>
      </c>
      <c r="M107" s="28" t="str">
        <f t="shared" si="45"/>
        <v>onwaar</v>
      </c>
      <c r="N107" s="28" t="str">
        <f t="shared" si="46"/>
        <v>onwaar</v>
      </c>
      <c r="O107" s="28" t="str">
        <f t="shared" si="47"/>
        <v>onwaar</v>
      </c>
      <c r="P107" s="28" t="str">
        <f t="shared" si="48"/>
        <v>onwaar</v>
      </c>
      <c r="Q107" s="28" t="str">
        <f t="shared" si="49"/>
        <v>onwaar</v>
      </c>
      <c r="R107" s="22"/>
    </row>
    <row r="108" spans="1:18" x14ac:dyDescent="0.3">
      <c r="A108" s="46" t="s">
        <v>205</v>
      </c>
      <c r="B108" s="49" t="s">
        <v>221</v>
      </c>
      <c r="C108" s="49" t="s">
        <v>221</v>
      </c>
      <c r="D108" s="49" t="s">
        <v>319</v>
      </c>
      <c r="E108" s="32" t="str">
        <f t="shared" si="25"/>
        <v>Onderzoek</v>
      </c>
      <c r="F108" s="28" t="str">
        <f t="shared" si="38"/>
        <v>onwaar</v>
      </c>
      <c r="G108" s="28" t="str">
        <f t="shared" si="39"/>
        <v>onwaar</v>
      </c>
      <c r="H108" s="28" t="str">
        <f t="shared" si="40"/>
        <v>onwaar</v>
      </c>
      <c r="I108" s="28" t="str">
        <f t="shared" si="41"/>
        <v>onwaar</v>
      </c>
      <c r="J108" s="28" t="str">
        <f t="shared" si="42"/>
        <v>onwaar</v>
      </c>
      <c r="K108" s="28" t="str">
        <f t="shared" si="43"/>
        <v>onwaar</v>
      </c>
      <c r="L108" s="28" t="str">
        <f t="shared" si="44"/>
        <v>onwaar</v>
      </c>
      <c r="M108" s="28" t="str">
        <f t="shared" si="45"/>
        <v>onwaar</v>
      </c>
      <c r="N108" s="28" t="str">
        <f t="shared" si="46"/>
        <v>onwaar</v>
      </c>
      <c r="O108" s="28" t="str">
        <f t="shared" si="47"/>
        <v>onwaar</v>
      </c>
      <c r="P108" s="28" t="str">
        <f t="shared" si="48"/>
        <v>onwaar</v>
      </c>
      <c r="Q108" s="28" t="str">
        <f t="shared" si="49"/>
        <v>onwaar</v>
      </c>
      <c r="R108" s="22"/>
    </row>
    <row r="109" spans="1:18" x14ac:dyDescent="0.3">
      <c r="A109" s="46" t="s">
        <v>205</v>
      </c>
      <c r="B109" s="49" t="s">
        <v>221</v>
      </c>
      <c r="C109" s="49" t="s">
        <v>221</v>
      </c>
      <c r="D109" s="49" t="s">
        <v>321</v>
      </c>
      <c r="E109" s="32" t="str">
        <f t="shared" si="25"/>
        <v>Onderzoek</v>
      </c>
      <c r="F109" s="28" t="str">
        <f t="shared" si="38"/>
        <v>onwaar</v>
      </c>
      <c r="G109" s="28" t="str">
        <f t="shared" si="39"/>
        <v>onwaar</v>
      </c>
      <c r="H109" s="28" t="str">
        <f t="shared" si="40"/>
        <v>onwaar</v>
      </c>
      <c r="I109" s="28" t="str">
        <f t="shared" si="41"/>
        <v>onwaar</v>
      </c>
      <c r="J109" s="28" t="str">
        <f t="shared" si="42"/>
        <v>onwaar</v>
      </c>
      <c r="K109" s="28" t="str">
        <f t="shared" si="43"/>
        <v>onwaar</v>
      </c>
      <c r="L109" s="28" t="str">
        <f t="shared" si="44"/>
        <v>onwaar</v>
      </c>
      <c r="M109" s="28" t="str">
        <f t="shared" si="45"/>
        <v>onwaar</v>
      </c>
      <c r="N109" s="28" t="str">
        <f t="shared" si="46"/>
        <v>onwaar</v>
      </c>
      <c r="O109" s="28" t="str">
        <f t="shared" si="47"/>
        <v>onwaar</v>
      </c>
      <c r="P109" s="28" t="str">
        <f t="shared" si="48"/>
        <v>onwaar</v>
      </c>
      <c r="Q109" s="28" t="str">
        <f t="shared" si="49"/>
        <v>onwaar</v>
      </c>
      <c r="R109" s="22"/>
    </row>
    <row r="110" spans="1:18" x14ac:dyDescent="0.3">
      <c r="A110" s="46" t="s">
        <v>205</v>
      </c>
      <c r="B110" s="49" t="s">
        <v>221</v>
      </c>
      <c r="C110" s="49" t="s">
        <v>221</v>
      </c>
      <c r="D110" s="49" t="s">
        <v>323</v>
      </c>
      <c r="E110" s="32" t="str">
        <f t="shared" si="25"/>
        <v>Onderzoek</v>
      </c>
      <c r="F110" s="28" t="str">
        <f t="shared" si="38"/>
        <v>onwaar</v>
      </c>
      <c r="G110" s="28" t="str">
        <f t="shared" si="39"/>
        <v>onwaar</v>
      </c>
      <c r="H110" s="28" t="str">
        <f t="shared" si="40"/>
        <v>onwaar</v>
      </c>
      <c r="I110" s="28" t="str">
        <f t="shared" si="41"/>
        <v>onwaar</v>
      </c>
      <c r="J110" s="28" t="str">
        <f t="shared" si="42"/>
        <v>onwaar</v>
      </c>
      <c r="K110" s="28" t="str">
        <f t="shared" si="43"/>
        <v>onwaar</v>
      </c>
      <c r="L110" s="28" t="str">
        <f t="shared" si="44"/>
        <v>onwaar</v>
      </c>
      <c r="M110" s="28" t="str">
        <f t="shared" si="45"/>
        <v>onwaar</v>
      </c>
      <c r="N110" s="28" t="str">
        <f t="shared" si="46"/>
        <v>onwaar</v>
      </c>
      <c r="O110" s="28" t="str">
        <f t="shared" si="47"/>
        <v>onwaar</v>
      </c>
      <c r="P110" s="28" t="str">
        <f t="shared" si="48"/>
        <v>onwaar</v>
      </c>
      <c r="Q110" s="28" t="str">
        <f t="shared" si="49"/>
        <v>onwaar</v>
      </c>
      <c r="R110" s="22"/>
    </row>
    <row r="111" spans="1:18" x14ac:dyDescent="0.3">
      <c r="A111" s="46" t="s">
        <v>205</v>
      </c>
      <c r="B111" s="49" t="s">
        <v>221</v>
      </c>
      <c r="C111" s="49" t="s">
        <v>221</v>
      </c>
      <c r="D111" s="49" t="s">
        <v>325</v>
      </c>
      <c r="E111" s="32" t="str">
        <f t="shared" si="25"/>
        <v>Onderzoek</v>
      </c>
      <c r="F111" s="28" t="str">
        <f t="shared" si="38"/>
        <v>onwaar</v>
      </c>
      <c r="G111" s="28" t="str">
        <f t="shared" si="39"/>
        <v>onwaar</v>
      </c>
      <c r="H111" s="28" t="str">
        <f t="shared" si="40"/>
        <v>onwaar</v>
      </c>
      <c r="I111" s="28" t="str">
        <f t="shared" si="41"/>
        <v>onwaar</v>
      </c>
      <c r="J111" s="28" t="str">
        <f t="shared" si="42"/>
        <v>onwaar</v>
      </c>
      <c r="K111" s="28" t="str">
        <f t="shared" si="43"/>
        <v>onwaar</v>
      </c>
      <c r="L111" s="28" t="str">
        <f t="shared" si="44"/>
        <v>onwaar</v>
      </c>
      <c r="M111" s="28" t="str">
        <f t="shared" si="45"/>
        <v>onwaar</v>
      </c>
      <c r="N111" s="28" t="str">
        <f t="shared" si="46"/>
        <v>onwaar</v>
      </c>
      <c r="O111" s="28" t="str">
        <f t="shared" si="47"/>
        <v>onwaar</v>
      </c>
      <c r="P111" s="28" t="str">
        <f t="shared" si="48"/>
        <v>onwaar</v>
      </c>
      <c r="Q111" s="28" t="str">
        <f t="shared" si="49"/>
        <v>onwaar</v>
      </c>
      <c r="R111" s="22"/>
    </row>
    <row r="112" spans="1:18" x14ac:dyDescent="0.3">
      <c r="A112" s="46" t="s">
        <v>205</v>
      </c>
      <c r="B112" s="49" t="s">
        <v>221</v>
      </c>
      <c r="C112" s="49" t="s">
        <v>221</v>
      </c>
      <c r="D112" s="49" t="s">
        <v>326</v>
      </c>
      <c r="E112" s="32" t="str">
        <f t="shared" si="25"/>
        <v>Onderzoek</v>
      </c>
      <c r="F112" s="28" t="str">
        <f t="shared" si="38"/>
        <v>onwaar</v>
      </c>
      <c r="G112" s="28" t="str">
        <f t="shared" si="39"/>
        <v>onwaar</v>
      </c>
      <c r="H112" s="28" t="str">
        <f t="shared" si="40"/>
        <v>onwaar</v>
      </c>
      <c r="I112" s="28" t="str">
        <f t="shared" si="41"/>
        <v>onwaar</v>
      </c>
      <c r="J112" s="28" t="str">
        <f t="shared" si="42"/>
        <v>onwaar</v>
      </c>
      <c r="K112" s="28" t="str">
        <f t="shared" si="43"/>
        <v>onwaar</v>
      </c>
      <c r="L112" s="28" t="str">
        <f t="shared" si="44"/>
        <v>onwaar</v>
      </c>
      <c r="M112" s="28" t="str">
        <f t="shared" si="45"/>
        <v>onwaar</v>
      </c>
      <c r="N112" s="28" t="str">
        <f t="shared" si="46"/>
        <v>onwaar</v>
      </c>
      <c r="O112" s="28" t="str">
        <f t="shared" si="47"/>
        <v>onwaar</v>
      </c>
      <c r="P112" s="28" t="str">
        <f t="shared" si="48"/>
        <v>onwaar</v>
      </c>
      <c r="Q112" s="28" t="str">
        <f t="shared" si="49"/>
        <v>onwaar</v>
      </c>
      <c r="R112" s="22"/>
    </row>
    <row r="113" spans="1:18" x14ac:dyDescent="0.3">
      <c r="A113" s="46" t="s">
        <v>205</v>
      </c>
      <c r="B113" s="49" t="s">
        <v>221</v>
      </c>
      <c r="C113" s="49" t="s">
        <v>221</v>
      </c>
      <c r="D113" s="49" t="s">
        <v>406</v>
      </c>
      <c r="E113" s="32" t="str">
        <f t="shared" si="25"/>
        <v>Onderzoek</v>
      </c>
      <c r="F113" s="28" t="str">
        <f t="shared" si="38"/>
        <v>onwaar</v>
      </c>
      <c r="G113" s="28" t="str">
        <f t="shared" si="39"/>
        <v>onwaar</v>
      </c>
      <c r="H113" s="28" t="str">
        <f t="shared" si="40"/>
        <v>onwaar</v>
      </c>
      <c r="I113" s="28" t="str">
        <f t="shared" si="41"/>
        <v>onwaar</v>
      </c>
      <c r="J113" s="28" t="str">
        <f t="shared" si="42"/>
        <v>onwaar</v>
      </c>
      <c r="K113" s="28" t="str">
        <f t="shared" si="43"/>
        <v>onwaar</v>
      </c>
      <c r="L113" s="28" t="str">
        <f t="shared" si="44"/>
        <v>onwaar</v>
      </c>
      <c r="M113" s="28" t="str">
        <f t="shared" si="45"/>
        <v>onwaar</v>
      </c>
      <c r="N113" s="28" t="str">
        <f t="shared" si="46"/>
        <v>onwaar</v>
      </c>
      <c r="O113" s="28" t="str">
        <f t="shared" si="47"/>
        <v>onwaar</v>
      </c>
      <c r="P113" s="28" t="str">
        <f t="shared" si="48"/>
        <v>onwaar</v>
      </c>
      <c r="Q113" s="28" t="str">
        <f t="shared" si="49"/>
        <v>onwaar</v>
      </c>
      <c r="R113" s="22"/>
    </row>
    <row r="114" spans="1:18" x14ac:dyDescent="0.3">
      <c r="A114" s="46" t="s">
        <v>205</v>
      </c>
      <c r="B114" s="49" t="s">
        <v>221</v>
      </c>
      <c r="C114" s="49" t="s">
        <v>221</v>
      </c>
      <c r="D114" s="49" t="s">
        <v>407</v>
      </c>
      <c r="E114" s="32" t="str">
        <f t="shared" si="25"/>
        <v>Onderzoek</v>
      </c>
      <c r="F114" s="28" t="str">
        <f t="shared" si="38"/>
        <v>onwaar</v>
      </c>
      <c r="G114" s="28" t="str">
        <f t="shared" si="39"/>
        <v>onwaar</v>
      </c>
      <c r="H114" s="28" t="str">
        <f t="shared" si="40"/>
        <v>onwaar</v>
      </c>
      <c r="I114" s="28" t="str">
        <f t="shared" si="41"/>
        <v>onwaar</v>
      </c>
      <c r="J114" s="28" t="str">
        <f t="shared" si="42"/>
        <v>onwaar</v>
      </c>
      <c r="K114" s="28" t="str">
        <f t="shared" si="43"/>
        <v>onwaar</v>
      </c>
      <c r="L114" s="28" t="str">
        <f t="shared" si="44"/>
        <v>onwaar</v>
      </c>
      <c r="M114" s="28" t="str">
        <f t="shared" si="45"/>
        <v>onwaar</v>
      </c>
      <c r="N114" s="28" t="str">
        <f t="shared" si="46"/>
        <v>onwaar</v>
      </c>
      <c r="O114" s="28" t="str">
        <f t="shared" si="47"/>
        <v>onwaar</v>
      </c>
      <c r="P114" s="28" t="str">
        <f t="shared" si="48"/>
        <v>onwaar</v>
      </c>
      <c r="Q114" s="28" t="str">
        <f t="shared" si="49"/>
        <v>onwaar</v>
      </c>
      <c r="R114" s="22"/>
    </row>
    <row r="115" spans="1:18" x14ac:dyDescent="0.3">
      <c r="A115" s="46" t="s">
        <v>205</v>
      </c>
      <c r="B115" s="49" t="s">
        <v>221</v>
      </c>
      <c r="C115" s="49" t="s">
        <v>221</v>
      </c>
      <c r="D115" s="49" t="s">
        <v>327</v>
      </c>
      <c r="E115" s="32" t="str">
        <f t="shared" si="25"/>
        <v>Onderzoek</v>
      </c>
      <c r="F115" s="28" t="str">
        <f t="shared" si="38"/>
        <v>onwaar</v>
      </c>
      <c r="G115" s="28" t="str">
        <f t="shared" si="39"/>
        <v>onwaar</v>
      </c>
      <c r="H115" s="28" t="str">
        <f t="shared" si="40"/>
        <v>onwaar</v>
      </c>
      <c r="I115" s="28" t="str">
        <f t="shared" si="41"/>
        <v>onwaar</v>
      </c>
      <c r="J115" s="28" t="str">
        <f t="shared" si="42"/>
        <v>onwaar</v>
      </c>
      <c r="K115" s="28" t="str">
        <f t="shared" si="43"/>
        <v>onwaar</v>
      </c>
      <c r="L115" s="28" t="str">
        <f t="shared" si="44"/>
        <v>onwaar</v>
      </c>
      <c r="M115" s="28" t="str">
        <f t="shared" si="45"/>
        <v>onwaar</v>
      </c>
      <c r="N115" s="28" t="str">
        <f t="shared" si="46"/>
        <v>onwaar</v>
      </c>
      <c r="O115" s="28" t="str">
        <f t="shared" si="47"/>
        <v>onwaar</v>
      </c>
      <c r="P115" s="28" t="str">
        <f t="shared" si="48"/>
        <v>onwaar</v>
      </c>
      <c r="Q115" s="28" t="str">
        <f t="shared" si="49"/>
        <v>onwaar</v>
      </c>
      <c r="R115" s="22"/>
    </row>
    <row r="116" spans="1:18" x14ac:dyDescent="0.3">
      <c r="A116" s="46" t="s">
        <v>205</v>
      </c>
      <c r="B116" s="49" t="s">
        <v>221</v>
      </c>
      <c r="C116" s="49" t="s">
        <v>221</v>
      </c>
      <c r="D116" s="49" t="s">
        <v>328</v>
      </c>
      <c r="E116" s="32" t="str">
        <f t="shared" si="25"/>
        <v>Onderzoek</v>
      </c>
      <c r="F116" s="28" t="str">
        <f t="shared" si="38"/>
        <v>onwaar</v>
      </c>
      <c r="G116" s="28" t="str">
        <f t="shared" si="39"/>
        <v>onwaar</v>
      </c>
      <c r="H116" s="28" t="str">
        <f t="shared" si="40"/>
        <v>onwaar</v>
      </c>
      <c r="I116" s="28" t="str">
        <f t="shared" si="41"/>
        <v>onwaar</v>
      </c>
      <c r="J116" s="28" t="str">
        <f t="shared" si="42"/>
        <v>onwaar</v>
      </c>
      <c r="K116" s="28" t="str">
        <f t="shared" si="43"/>
        <v>onwaar</v>
      </c>
      <c r="L116" s="28" t="str">
        <f t="shared" si="44"/>
        <v>onwaar</v>
      </c>
      <c r="M116" s="28" t="str">
        <f t="shared" si="45"/>
        <v>onwaar</v>
      </c>
      <c r="N116" s="28" t="str">
        <f t="shared" si="46"/>
        <v>onwaar</v>
      </c>
      <c r="O116" s="28" t="str">
        <f t="shared" si="47"/>
        <v>onwaar</v>
      </c>
      <c r="P116" s="28" t="str">
        <f t="shared" si="48"/>
        <v>onwaar</v>
      </c>
      <c r="Q116" s="28" t="str">
        <f t="shared" si="49"/>
        <v>onwaar</v>
      </c>
      <c r="R116" s="22"/>
    </row>
    <row r="117" spans="1:18" x14ac:dyDescent="0.3">
      <c r="A117" s="46" t="s">
        <v>205</v>
      </c>
      <c r="B117" s="49" t="s">
        <v>221</v>
      </c>
      <c r="C117" s="49" t="s">
        <v>221</v>
      </c>
      <c r="D117" s="49" t="s">
        <v>403</v>
      </c>
      <c r="E117" s="32" t="str">
        <f t="shared" si="25"/>
        <v>Onderzoek</v>
      </c>
      <c r="F117" s="28" t="str">
        <f t="shared" si="38"/>
        <v>onwaar</v>
      </c>
      <c r="G117" s="28" t="str">
        <f t="shared" si="39"/>
        <v>onwaar</v>
      </c>
      <c r="H117" s="28" t="str">
        <f t="shared" si="40"/>
        <v>onwaar</v>
      </c>
      <c r="I117" s="28" t="str">
        <f t="shared" si="41"/>
        <v>onwaar</v>
      </c>
      <c r="J117" s="28" t="str">
        <f t="shared" si="42"/>
        <v>onwaar</v>
      </c>
      <c r="K117" s="28" t="str">
        <f t="shared" si="43"/>
        <v>onwaar</v>
      </c>
      <c r="L117" s="28" t="str">
        <f t="shared" si="44"/>
        <v>onwaar</v>
      </c>
      <c r="M117" s="28" t="str">
        <f t="shared" si="45"/>
        <v>onwaar</v>
      </c>
      <c r="N117" s="28" t="str">
        <f t="shared" si="46"/>
        <v>onwaar</v>
      </c>
      <c r="O117" s="28" t="str">
        <f t="shared" si="47"/>
        <v>onwaar</v>
      </c>
      <c r="P117" s="28" t="str">
        <f t="shared" si="48"/>
        <v>onwaar</v>
      </c>
      <c r="Q117" s="28" t="str">
        <f t="shared" si="49"/>
        <v>onwaar</v>
      </c>
      <c r="R117" s="22"/>
    </row>
    <row r="118" spans="1:18" x14ac:dyDescent="0.3">
      <c r="A118" s="46" t="s">
        <v>205</v>
      </c>
      <c r="B118" s="49" t="s">
        <v>221</v>
      </c>
      <c r="C118" s="49" t="s">
        <v>221</v>
      </c>
      <c r="D118" s="49" t="s">
        <v>404</v>
      </c>
      <c r="E118" s="32" t="str">
        <f t="shared" si="25"/>
        <v>Onderzoek</v>
      </c>
      <c r="F118" s="28" t="str">
        <f t="shared" si="38"/>
        <v>onwaar</v>
      </c>
      <c r="G118" s="28" t="str">
        <f t="shared" si="39"/>
        <v>onwaar</v>
      </c>
      <c r="H118" s="28" t="str">
        <f t="shared" si="40"/>
        <v>onwaar</v>
      </c>
      <c r="I118" s="28" t="str">
        <f t="shared" si="41"/>
        <v>onwaar</v>
      </c>
      <c r="J118" s="28" t="str">
        <f t="shared" si="42"/>
        <v>onwaar</v>
      </c>
      <c r="K118" s="28" t="str">
        <f t="shared" si="43"/>
        <v>onwaar</v>
      </c>
      <c r="L118" s="28" t="str">
        <f t="shared" si="44"/>
        <v>onwaar</v>
      </c>
      <c r="M118" s="28" t="str">
        <f t="shared" si="45"/>
        <v>onwaar</v>
      </c>
      <c r="N118" s="28" t="str">
        <f t="shared" si="46"/>
        <v>onwaar</v>
      </c>
      <c r="O118" s="28" t="str">
        <f t="shared" si="47"/>
        <v>onwaar</v>
      </c>
      <c r="P118" s="28" t="str">
        <f t="shared" si="48"/>
        <v>onwaar</v>
      </c>
      <c r="Q118" s="28" t="str">
        <f t="shared" si="49"/>
        <v>onwaar</v>
      </c>
      <c r="R118" s="22"/>
    </row>
    <row r="119" spans="1:18" x14ac:dyDescent="0.3">
      <c r="A119" s="46" t="s">
        <v>205</v>
      </c>
      <c r="B119" s="49" t="s">
        <v>221</v>
      </c>
      <c r="C119" s="49" t="s">
        <v>221</v>
      </c>
      <c r="D119" s="49" t="s">
        <v>221</v>
      </c>
      <c r="E119" s="32" t="str">
        <f t="shared" si="25"/>
        <v>Onderzoek</v>
      </c>
      <c r="F119" s="28" t="str">
        <f t="shared" si="38"/>
        <v>onwaar</v>
      </c>
      <c r="G119" s="28" t="str">
        <f t="shared" si="39"/>
        <v>onwaar</v>
      </c>
      <c r="H119" s="28" t="str">
        <f t="shared" si="40"/>
        <v>onwaar</v>
      </c>
      <c r="I119" s="28" t="str">
        <f t="shared" si="41"/>
        <v>onwaar</v>
      </c>
      <c r="J119" s="28" t="str">
        <f t="shared" si="42"/>
        <v>onwaar</v>
      </c>
      <c r="K119" s="28" t="str">
        <f t="shared" si="43"/>
        <v>onwaar</v>
      </c>
      <c r="L119" s="28" t="str">
        <f t="shared" si="44"/>
        <v>onwaar</v>
      </c>
      <c r="M119" s="28" t="str">
        <f t="shared" si="45"/>
        <v>onwaar</v>
      </c>
      <c r="N119" s="28" t="str">
        <f t="shared" si="46"/>
        <v>onwaar</v>
      </c>
      <c r="O119" s="28" t="str">
        <f t="shared" si="47"/>
        <v>onwaar</v>
      </c>
      <c r="P119" s="28" t="str">
        <f t="shared" si="48"/>
        <v>onwaar</v>
      </c>
      <c r="Q119" s="28" t="str">
        <f t="shared" si="49"/>
        <v>onwaar</v>
      </c>
      <c r="R119" s="22"/>
    </row>
    <row r="120" spans="1:18" x14ac:dyDescent="0.3">
      <c r="A120" s="46" t="s">
        <v>205</v>
      </c>
      <c r="B120" s="49" t="s">
        <v>221</v>
      </c>
      <c r="C120" s="49" t="s">
        <v>221</v>
      </c>
      <c r="D120" s="49" t="s">
        <v>410</v>
      </c>
      <c r="E120" s="32" t="str">
        <f t="shared" si="25"/>
        <v>Onderzoek</v>
      </c>
      <c r="F120" s="28" t="str">
        <f t="shared" si="38"/>
        <v>onwaar</v>
      </c>
      <c r="G120" s="28" t="str">
        <f t="shared" si="39"/>
        <v>onwaar</v>
      </c>
      <c r="H120" s="28" t="str">
        <f t="shared" si="40"/>
        <v>onwaar</v>
      </c>
      <c r="I120" s="28" t="str">
        <f t="shared" si="41"/>
        <v>onwaar</v>
      </c>
      <c r="J120" s="28" t="str">
        <f t="shared" si="42"/>
        <v>onwaar</v>
      </c>
      <c r="K120" s="28" t="str">
        <f t="shared" si="43"/>
        <v>onwaar</v>
      </c>
      <c r="L120" s="28" t="str">
        <f t="shared" si="44"/>
        <v>onwaar</v>
      </c>
      <c r="M120" s="28" t="str">
        <f t="shared" si="45"/>
        <v>onwaar</v>
      </c>
      <c r="N120" s="28" t="str">
        <f t="shared" si="46"/>
        <v>onwaar</v>
      </c>
      <c r="O120" s="28" t="str">
        <f t="shared" si="47"/>
        <v>onwaar</v>
      </c>
      <c r="P120" s="28" t="str">
        <f t="shared" si="48"/>
        <v>onwaar</v>
      </c>
      <c r="Q120" s="28" t="str">
        <f t="shared" si="49"/>
        <v>onwaar</v>
      </c>
      <c r="R120" s="22"/>
    </row>
    <row r="121" spans="1:18" x14ac:dyDescent="0.3">
      <c r="A121" s="46" t="s">
        <v>205</v>
      </c>
      <c r="B121" s="49" t="s">
        <v>221</v>
      </c>
      <c r="C121" s="49" t="s">
        <v>221</v>
      </c>
      <c r="D121" s="49" t="s">
        <v>411</v>
      </c>
      <c r="E121" s="32" t="str">
        <f t="shared" si="25"/>
        <v>Onderzoek</v>
      </c>
      <c r="F121" s="28" t="str">
        <f t="shared" si="38"/>
        <v>onwaar</v>
      </c>
      <c r="G121" s="28" t="str">
        <f t="shared" si="39"/>
        <v>onwaar</v>
      </c>
      <c r="H121" s="28" t="str">
        <f t="shared" si="40"/>
        <v>onwaar</v>
      </c>
      <c r="I121" s="28" t="str">
        <f t="shared" si="41"/>
        <v>onwaar</v>
      </c>
      <c r="J121" s="28" t="str">
        <f t="shared" si="42"/>
        <v>onwaar</v>
      </c>
      <c r="K121" s="28" t="str">
        <f t="shared" si="43"/>
        <v>onwaar</v>
      </c>
      <c r="L121" s="28" t="str">
        <f t="shared" si="44"/>
        <v>onwaar</v>
      </c>
      <c r="M121" s="28" t="str">
        <f t="shared" si="45"/>
        <v>onwaar</v>
      </c>
      <c r="N121" s="28" t="str">
        <f t="shared" si="46"/>
        <v>onwaar</v>
      </c>
      <c r="O121" s="28" t="str">
        <f t="shared" si="47"/>
        <v>onwaar</v>
      </c>
      <c r="P121" s="28" t="str">
        <f t="shared" si="48"/>
        <v>onwaar</v>
      </c>
      <c r="Q121" s="28" t="str">
        <f t="shared" si="49"/>
        <v>onwaar</v>
      </c>
      <c r="R121" s="22"/>
    </row>
    <row r="122" spans="1:18" x14ac:dyDescent="0.3">
      <c r="A122" s="46" t="s">
        <v>412</v>
      </c>
      <c r="B122" s="51">
        <v>43525</v>
      </c>
      <c r="C122" s="51">
        <v>43647</v>
      </c>
      <c r="D122" s="49" t="s">
        <v>232</v>
      </c>
      <c r="E122" s="32" t="str">
        <f t="shared" si="25"/>
        <v>Gepland</v>
      </c>
      <c r="F122" s="28" t="str">
        <f t="shared" si="38"/>
        <v>onwaar</v>
      </c>
      <c r="G122" s="28" t="str">
        <f t="shared" si="39"/>
        <v>onwaar</v>
      </c>
      <c r="H122" s="28" t="str">
        <f t="shared" si="40"/>
        <v>Planned</v>
      </c>
      <c r="I122" s="28" t="str">
        <f t="shared" si="41"/>
        <v>Planned</v>
      </c>
      <c r="J122" s="28" t="str">
        <f t="shared" si="42"/>
        <v>Planned</v>
      </c>
      <c r="K122" s="28" t="str">
        <f t="shared" si="43"/>
        <v>Planned</v>
      </c>
      <c r="L122" s="28" t="str">
        <f t="shared" si="44"/>
        <v>onwaar</v>
      </c>
      <c r="M122" s="28" t="str">
        <f t="shared" si="45"/>
        <v>onwaar</v>
      </c>
      <c r="N122" s="28" t="str">
        <f t="shared" si="46"/>
        <v>onwaar</v>
      </c>
      <c r="O122" s="28" t="str">
        <f t="shared" si="47"/>
        <v>onwaar</v>
      </c>
      <c r="P122" s="28" t="str">
        <f t="shared" si="48"/>
        <v>onwaar</v>
      </c>
      <c r="Q122" s="28" t="str">
        <f t="shared" si="49"/>
        <v>onwaar</v>
      </c>
      <c r="R122" s="22"/>
    </row>
    <row r="123" spans="1:18" x14ac:dyDescent="0.3">
      <c r="A123" s="46" t="s">
        <v>412</v>
      </c>
      <c r="B123" s="51">
        <v>43525</v>
      </c>
      <c r="C123" s="51">
        <v>43647</v>
      </c>
      <c r="D123" s="49" t="s">
        <v>234</v>
      </c>
      <c r="E123" s="32" t="str">
        <f t="shared" si="25"/>
        <v>Gepland</v>
      </c>
      <c r="F123" s="28" t="str">
        <f t="shared" si="38"/>
        <v>onwaar</v>
      </c>
      <c r="G123" s="28" t="str">
        <f t="shared" si="39"/>
        <v>onwaar</v>
      </c>
      <c r="H123" s="28" t="str">
        <f t="shared" si="40"/>
        <v>Planned</v>
      </c>
      <c r="I123" s="28" t="str">
        <f t="shared" si="41"/>
        <v>Planned</v>
      </c>
      <c r="J123" s="28" t="str">
        <f t="shared" si="42"/>
        <v>Planned</v>
      </c>
      <c r="K123" s="28" t="str">
        <f t="shared" si="43"/>
        <v>Planned</v>
      </c>
      <c r="L123" s="28" t="str">
        <f t="shared" si="44"/>
        <v>onwaar</v>
      </c>
      <c r="M123" s="28" t="str">
        <f t="shared" si="45"/>
        <v>onwaar</v>
      </c>
      <c r="N123" s="28" t="str">
        <f t="shared" si="46"/>
        <v>onwaar</v>
      </c>
      <c r="O123" s="28" t="str">
        <f t="shared" si="47"/>
        <v>onwaar</v>
      </c>
      <c r="P123" s="28" t="str">
        <f t="shared" si="48"/>
        <v>onwaar</v>
      </c>
      <c r="Q123" s="28" t="str">
        <f t="shared" si="49"/>
        <v>onwaar</v>
      </c>
      <c r="R123" s="22"/>
    </row>
    <row r="124" spans="1:18" x14ac:dyDescent="0.3">
      <c r="A124" s="46" t="s">
        <v>412</v>
      </c>
      <c r="B124" s="51">
        <v>43525</v>
      </c>
      <c r="C124" s="51">
        <v>43647</v>
      </c>
      <c r="D124" s="49" t="s">
        <v>240</v>
      </c>
      <c r="E124" s="32" t="str">
        <f t="shared" si="25"/>
        <v>Gepland</v>
      </c>
      <c r="F124" s="28" t="str">
        <f t="shared" si="38"/>
        <v>onwaar</v>
      </c>
      <c r="G124" s="28" t="str">
        <f t="shared" si="39"/>
        <v>onwaar</v>
      </c>
      <c r="H124" s="28" t="str">
        <f t="shared" si="40"/>
        <v>Planned</v>
      </c>
      <c r="I124" s="28" t="str">
        <f t="shared" si="41"/>
        <v>Planned</v>
      </c>
      <c r="J124" s="28" t="str">
        <f t="shared" si="42"/>
        <v>Planned</v>
      </c>
      <c r="K124" s="28" t="str">
        <f t="shared" si="43"/>
        <v>Planned</v>
      </c>
      <c r="L124" s="28" t="str">
        <f t="shared" si="44"/>
        <v>onwaar</v>
      </c>
      <c r="M124" s="28" t="str">
        <f t="shared" si="45"/>
        <v>onwaar</v>
      </c>
      <c r="N124" s="28" t="str">
        <f t="shared" si="46"/>
        <v>onwaar</v>
      </c>
      <c r="O124" s="28" t="str">
        <f t="shared" si="47"/>
        <v>onwaar</v>
      </c>
      <c r="P124" s="28" t="str">
        <f t="shared" si="48"/>
        <v>onwaar</v>
      </c>
      <c r="Q124" s="28" t="str">
        <f t="shared" si="49"/>
        <v>onwaar</v>
      </c>
    </row>
    <row r="125" spans="1:18" x14ac:dyDescent="0.3">
      <c r="A125" s="46" t="s">
        <v>412</v>
      </c>
      <c r="B125" s="51">
        <v>43525</v>
      </c>
      <c r="C125" s="51">
        <v>43647</v>
      </c>
      <c r="D125" s="49" t="s">
        <v>241</v>
      </c>
      <c r="E125" s="32" t="str">
        <f t="shared" si="25"/>
        <v>Gepland</v>
      </c>
      <c r="F125" s="28" t="str">
        <f t="shared" si="38"/>
        <v>onwaar</v>
      </c>
      <c r="G125" s="28" t="str">
        <f t="shared" si="39"/>
        <v>onwaar</v>
      </c>
      <c r="H125" s="28" t="str">
        <f t="shared" si="40"/>
        <v>Planned</v>
      </c>
      <c r="I125" s="28" t="str">
        <f t="shared" si="41"/>
        <v>Planned</v>
      </c>
      <c r="J125" s="28" t="str">
        <f t="shared" si="42"/>
        <v>Planned</v>
      </c>
      <c r="K125" s="28" t="str">
        <f t="shared" si="43"/>
        <v>Planned</v>
      </c>
      <c r="L125" s="28" t="str">
        <f t="shared" si="44"/>
        <v>onwaar</v>
      </c>
      <c r="M125" s="28" t="str">
        <f t="shared" si="45"/>
        <v>onwaar</v>
      </c>
      <c r="N125" s="28" t="str">
        <f t="shared" si="46"/>
        <v>onwaar</v>
      </c>
      <c r="O125" s="28" t="str">
        <f t="shared" si="47"/>
        <v>onwaar</v>
      </c>
      <c r="P125" s="28" t="str">
        <f t="shared" si="48"/>
        <v>onwaar</v>
      </c>
      <c r="Q125" s="28" t="str">
        <f t="shared" si="49"/>
        <v>onwaar</v>
      </c>
    </row>
    <row r="126" spans="1:18" x14ac:dyDescent="0.3">
      <c r="A126" s="46" t="s">
        <v>412</v>
      </c>
      <c r="B126" s="51">
        <v>43525</v>
      </c>
      <c r="C126" s="51">
        <v>43647</v>
      </c>
      <c r="D126" s="49" t="s">
        <v>242</v>
      </c>
      <c r="E126" s="32" t="str">
        <f t="shared" si="25"/>
        <v>Gepland</v>
      </c>
      <c r="F126" s="28" t="str">
        <f t="shared" si="38"/>
        <v>onwaar</v>
      </c>
      <c r="G126" s="28" t="str">
        <f t="shared" si="39"/>
        <v>onwaar</v>
      </c>
      <c r="H126" s="28" t="str">
        <f t="shared" si="40"/>
        <v>Planned</v>
      </c>
      <c r="I126" s="28" t="str">
        <f t="shared" si="41"/>
        <v>Planned</v>
      </c>
      <c r="J126" s="28" t="str">
        <f t="shared" si="42"/>
        <v>Planned</v>
      </c>
      <c r="K126" s="28" t="str">
        <f t="shared" si="43"/>
        <v>Planned</v>
      </c>
      <c r="L126" s="28" t="str">
        <f t="shared" si="44"/>
        <v>onwaar</v>
      </c>
      <c r="M126" s="28" t="str">
        <f t="shared" si="45"/>
        <v>onwaar</v>
      </c>
      <c r="N126" s="28" t="str">
        <f t="shared" si="46"/>
        <v>onwaar</v>
      </c>
      <c r="O126" s="28" t="str">
        <f t="shared" si="47"/>
        <v>onwaar</v>
      </c>
      <c r="P126" s="28" t="str">
        <f t="shared" si="48"/>
        <v>onwaar</v>
      </c>
      <c r="Q126" s="28" t="str">
        <f t="shared" si="49"/>
        <v>onwaar</v>
      </c>
    </row>
    <row r="127" spans="1:18" x14ac:dyDescent="0.3">
      <c r="A127" s="46" t="s">
        <v>412</v>
      </c>
      <c r="B127" s="49" t="s">
        <v>221</v>
      </c>
      <c r="C127" s="49" t="s">
        <v>221</v>
      </c>
      <c r="D127" s="49" t="s">
        <v>251</v>
      </c>
      <c r="E127" s="32" t="str">
        <f t="shared" si="25"/>
        <v>Gepland</v>
      </c>
      <c r="F127" s="28" t="str">
        <f t="shared" si="38"/>
        <v>onwaar</v>
      </c>
      <c r="G127" s="28" t="str">
        <f t="shared" si="39"/>
        <v>onwaar</v>
      </c>
      <c r="H127" s="28" t="str">
        <f t="shared" si="40"/>
        <v>onwaar</v>
      </c>
      <c r="I127" s="28" t="str">
        <f t="shared" si="41"/>
        <v>onwaar</v>
      </c>
      <c r="J127" s="28" t="str">
        <f t="shared" si="42"/>
        <v>onwaar</v>
      </c>
      <c r="K127" s="28" t="str">
        <f t="shared" si="43"/>
        <v>onwaar</v>
      </c>
      <c r="L127" s="28" t="str">
        <f t="shared" si="44"/>
        <v>onwaar</v>
      </c>
      <c r="M127" s="28" t="str">
        <f t="shared" si="45"/>
        <v>onwaar</v>
      </c>
      <c r="N127" s="28" t="str">
        <f t="shared" si="46"/>
        <v>onwaar</v>
      </c>
      <c r="O127" s="28" t="str">
        <f t="shared" si="47"/>
        <v>onwaar</v>
      </c>
      <c r="P127" s="28" t="str">
        <f t="shared" si="48"/>
        <v>onwaar</v>
      </c>
      <c r="Q127" s="28" t="str">
        <f t="shared" si="49"/>
        <v>onwaar</v>
      </c>
    </row>
    <row r="128" spans="1:18" x14ac:dyDescent="0.3">
      <c r="A128" s="46" t="s">
        <v>412</v>
      </c>
      <c r="B128" s="49" t="s">
        <v>221</v>
      </c>
      <c r="C128" s="49" t="s">
        <v>221</v>
      </c>
      <c r="D128" s="49" t="s">
        <v>277</v>
      </c>
      <c r="E128" s="32" t="str">
        <f t="shared" si="25"/>
        <v>Gepland</v>
      </c>
      <c r="F128" s="28" t="str">
        <f t="shared" si="38"/>
        <v>onwaar</v>
      </c>
      <c r="G128" s="28" t="str">
        <f t="shared" si="39"/>
        <v>onwaar</v>
      </c>
      <c r="H128" s="28" t="str">
        <f t="shared" si="40"/>
        <v>onwaar</v>
      </c>
      <c r="I128" s="28" t="str">
        <f t="shared" si="41"/>
        <v>onwaar</v>
      </c>
      <c r="J128" s="28" t="str">
        <f t="shared" si="42"/>
        <v>onwaar</v>
      </c>
      <c r="K128" s="28" t="str">
        <f t="shared" si="43"/>
        <v>onwaar</v>
      </c>
      <c r="L128" s="28" t="str">
        <f t="shared" si="44"/>
        <v>onwaar</v>
      </c>
      <c r="M128" s="28" t="str">
        <f t="shared" si="45"/>
        <v>onwaar</v>
      </c>
      <c r="N128" s="28" t="str">
        <f t="shared" si="46"/>
        <v>onwaar</v>
      </c>
      <c r="O128" s="28" t="str">
        <f t="shared" si="47"/>
        <v>onwaar</v>
      </c>
      <c r="P128" s="28" t="str">
        <f t="shared" si="48"/>
        <v>onwaar</v>
      </c>
      <c r="Q128" s="28" t="str">
        <f t="shared" si="49"/>
        <v>onwaar</v>
      </c>
    </row>
    <row r="129" spans="1:17" x14ac:dyDescent="0.3">
      <c r="A129" s="46" t="s">
        <v>412</v>
      </c>
      <c r="B129" s="49" t="s">
        <v>221</v>
      </c>
      <c r="C129" s="49" t="s">
        <v>221</v>
      </c>
      <c r="D129" s="49" t="s">
        <v>306</v>
      </c>
      <c r="E129" s="32" t="str">
        <f t="shared" si="25"/>
        <v>Gepland</v>
      </c>
      <c r="F129" s="28" t="str">
        <f t="shared" si="38"/>
        <v>onwaar</v>
      </c>
      <c r="G129" s="28" t="str">
        <f t="shared" si="39"/>
        <v>onwaar</v>
      </c>
      <c r="H129" s="28" t="str">
        <f t="shared" si="40"/>
        <v>onwaar</v>
      </c>
      <c r="I129" s="28" t="str">
        <f t="shared" si="41"/>
        <v>onwaar</v>
      </c>
      <c r="J129" s="28" t="str">
        <f t="shared" si="42"/>
        <v>onwaar</v>
      </c>
      <c r="K129" s="28" t="str">
        <f t="shared" si="43"/>
        <v>onwaar</v>
      </c>
      <c r="L129" s="28" t="str">
        <f t="shared" si="44"/>
        <v>onwaar</v>
      </c>
      <c r="M129" s="28" t="str">
        <f t="shared" si="45"/>
        <v>onwaar</v>
      </c>
      <c r="N129" s="28" t="str">
        <f t="shared" si="46"/>
        <v>onwaar</v>
      </c>
      <c r="O129" s="28" t="str">
        <f t="shared" si="47"/>
        <v>onwaar</v>
      </c>
      <c r="P129" s="28" t="str">
        <f t="shared" si="48"/>
        <v>onwaar</v>
      </c>
      <c r="Q129" s="28" t="str">
        <f t="shared" si="49"/>
        <v>onwaar</v>
      </c>
    </row>
    <row r="130" spans="1:17" x14ac:dyDescent="0.3">
      <c r="A130" s="46" t="s">
        <v>412</v>
      </c>
      <c r="B130" s="49" t="s">
        <v>221</v>
      </c>
      <c r="C130" s="49" t="s">
        <v>221</v>
      </c>
      <c r="D130" s="49" t="s">
        <v>320</v>
      </c>
      <c r="E130" s="32" t="str">
        <f t="shared" ref="E130:E131" si="50">IF(A130="Live","Is Live", IF(A130="R&amp;D", "Onderzoek", IF(A130="Planned","Gepland","")))</f>
        <v>Gepland</v>
      </c>
      <c r="F130" s="28" t="str">
        <f t="shared" si="38"/>
        <v>onwaar</v>
      </c>
      <c r="G130" s="28" t="str">
        <f t="shared" si="39"/>
        <v>onwaar</v>
      </c>
      <c r="H130" s="28" t="str">
        <f t="shared" si="40"/>
        <v>onwaar</v>
      </c>
      <c r="I130" s="28" t="str">
        <f t="shared" si="41"/>
        <v>onwaar</v>
      </c>
      <c r="J130" s="28" t="str">
        <f t="shared" si="42"/>
        <v>onwaar</v>
      </c>
      <c r="K130" s="28" t="str">
        <f t="shared" si="43"/>
        <v>onwaar</v>
      </c>
      <c r="L130" s="28" t="str">
        <f t="shared" si="44"/>
        <v>onwaar</v>
      </c>
      <c r="M130" s="28" t="str">
        <f t="shared" si="45"/>
        <v>onwaar</v>
      </c>
      <c r="N130" s="28" t="str">
        <f t="shared" si="46"/>
        <v>onwaar</v>
      </c>
      <c r="O130" s="28" t="str">
        <f t="shared" si="47"/>
        <v>onwaar</v>
      </c>
      <c r="P130" s="28" t="str">
        <f t="shared" si="48"/>
        <v>onwaar</v>
      </c>
      <c r="Q130" s="28" t="str">
        <f t="shared" si="49"/>
        <v>onwaar</v>
      </c>
    </row>
    <row r="131" spans="1:17" x14ac:dyDescent="0.3">
      <c r="A131" s="50" t="s">
        <v>412</v>
      </c>
      <c r="B131" s="49" t="s">
        <v>221</v>
      </c>
      <c r="C131" s="49" t="s">
        <v>221</v>
      </c>
      <c r="D131" s="49" t="s">
        <v>322</v>
      </c>
      <c r="E131" s="32" t="str">
        <f t="shared" si="50"/>
        <v>Gepland</v>
      </c>
      <c r="F131" s="28" t="str">
        <f t="shared" si="38"/>
        <v>onwaar</v>
      </c>
      <c r="G131" s="28" t="str">
        <f t="shared" si="39"/>
        <v>onwaar</v>
      </c>
      <c r="H131" s="28" t="str">
        <f t="shared" si="40"/>
        <v>onwaar</v>
      </c>
      <c r="I131" s="28" t="str">
        <f t="shared" si="41"/>
        <v>onwaar</v>
      </c>
      <c r="J131" s="28" t="str">
        <f t="shared" si="42"/>
        <v>onwaar</v>
      </c>
      <c r="K131" s="28" t="str">
        <f t="shared" si="43"/>
        <v>onwaar</v>
      </c>
      <c r="L131" s="28" t="str">
        <f t="shared" si="44"/>
        <v>onwaar</v>
      </c>
      <c r="M131" s="28" t="str">
        <f t="shared" si="45"/>
        <v>onwaar</v>
      </c>
      <c r="N131" s="28" t="str">
        <f t="shared" si="46"/>
        <v>onwaar</v>
      </c>
      <c r="O131" s="28" t="str">
        <f t="shared" si="47"/>
        <v>onwaar</v>
      </c>
      <c r="P131" s="28" t="str">
        <f t="shared" si="48"/>
        <v>onwaar</v>
      </c>
      <c r="Q131" s="28" t="str">
        <f t="shared" si="49"/>
        <v>onwaar</v>
      </c>
    </row>
    <row r="132" spans="1:17" x14ac:dyDescent="0.3">
      <c r="D132" s="24"/>
    </row>
    <row r="133" spans="1:17" x14ac:dyDescent="0.3">
      <c r="D133" s="25"/>
    </row>
    <row r="134" spans="1:17" x14ac:dyDescent="0.3">
      <c r="D134" s="24"/>
    </row>
    <row r="135" spans="1:17" x14ac:dyDescent="0.3">
      <c r="D135" s="24"/>
    </row>
    <row r="136" spans="1:17" x14ac:dyDescent="0.3">
      <c r="D136" s="24"/>
    </row>
    <row r="137" spans="1:17" x14ac:dyDescent="0.3">
      <c r="D137" s="25"/>
    </row>
    <row r="138" spans="1:17" x14ac:dyDescent="0.3">
      <c r="D138" s="24"/>
    </row>
    <row r="139" spans="1:17" x14ac:dyDescent="0.3">
      <c r="D139" s="24"/>
    </row>
    <row r="140" spans="1:17" x14ac:dyDescent="0.3">
      <c r="D140" s="24"/>
    </row>
    <row r="141" spans="1:17" x14ac:dyDescent="0.3">
      <c r="D141" s="25"/>
    </row>
    <row r="142" spans="1:17" x14ac:dyDescent="0.3">
      <c r="D142" s="24"/>
    </row>
    <row r="143" spans="1:17" x14ac:dyDescent="0.3">
      <c r="D143" s="24"/>
    </row>
    <row r="144" spans="1:17" x14ac:dyDescent="0.3">
      <c r="D144" s="24"/>
    </row>
    <row r="145" spans="4:4" x14ac:dyDescent="0.3">
      <c r="D145" s="25"/>
    </row>
    <row r="146" spans="4:4" x14ac:dyDescent="0.3">
      <c r="D146" s="24"/>
    </row>
  </sheetData>
  <conditionalFormatting sqref="A1:XFD1048576">
    <cfRule type="cellIs" dxfId="18" priority="4" operator="equal">
      <formula>"live"</formula>
    </cfRule>
    <cfRule type="cellIs" dxfId="17" priority="5" operator="equal">
      <formula>"Onderzoek"</formula>
    </cfRule>
    <cfRule type="cellIs" dxfId="16" priority="6" operator="equal">
      <formula>"Is live"</formula>
    </cfRule>
    <cfRule type="cellIs" dxfId="15" priority="8" operator="equal">
      <formula>"R&amp;D"</formula>
    </cfRule>
    <cfRule type="cellIs" dxfId="14" priority="9" operator="equal">
      <formula>"doing"</formula>
    </cfRule>
    <cfRule type="cellIs" dxfId="13" priority="10" operator="equal">
      <formula>"Gepland"</formula>
    </cfRule>
    <cfRule type="cellIs" dxfId="12" priority="3" operator="equal">
      <formula>"Planned"</formula>
    </cfRule>
    <cfRule type="cellIs" dxfId="11" priority="1" operator="equal">
      <formula>"onwaar"</formula>
    </cfRule>
  </conditionalFormatting>
  <conditionalFormatting sqref="X13">
    <cfRule type="cellIs" dxfId="10" priority="2" operator="equal">
      <formula>"gepland"</formula>
    </cfRule>
  </conditionalFormatting>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pageSetUpPr fitToPage="1"/>
  </sheetPr>
  <dimension ref="A1:A44"/>
  <sheetViews>
    <sheetView workbookViewId="0">
      <selection activeCell="A35" sqref="A35"/>
    </sheetView>
  </sheetViews>
  <sheetFormatPr defaultRowHeight="15" x14ac:dyDescent="0.25"/>
  <cols>
    <col min="1" max="1" width="106.42578125" customWidth="1"/>
  </cols>
  <sheetData>
    <row r="1" spans="1:1" ht="14.45" x14ac:dyDescent="0.35">
      <c r="A1" s="1"/>
    </row>
    <row r="35" spans="1:1" ht="405" x14ac:dyDescent="0.25">
      <c r="A35" s="1" t="s">
        <v>197</v>
      </c>
    </row>
    <row r="37" spans="1:1" ht="30" x14ac:dyDescent="0.25">
      <c r="A37" s="1" t="s">
        <v>5</v>
      </c>
    </row>
    <row r="38" spans="1:1" x14ac:dyDescent="0.25">
      <c r="A38" s="1"/>
    </row>
    <row r="39" spans="1:1" ht="30" x14ac:dyDescent="0.25">
      <c r="A39" s="1" t="s">
        <v>6</v>
      </c>
    </row>
    <row r="40" spans="1:1" x14ac:dyDescent="0.25">
      <c r="A40" s="1"/>
    </row>
    <row r="41" spans="1:1" x14ac:dyDescent="0.25">
      <c r="A41" s="1" t="s">
        <v>7</v>
      </c>
    </row>
    <row r="44" spans="1:1" ht="30" x14ac:dyDescent="0.25">
      <c r="A44" s="1" t="s">
        <v>199</v>
      </c>
    </row>
  </sheetData>
  <pageMargins left="0.7" right="0.7" top="0.75" bottom="0.75" header="0.3" footer="0.3"/>
  <pageSetup paperSize="9" scale="66"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B1"/>
  <sheetViews>
    <sheetView workbookViewId="0">
      <selection activeCell="B2" sqref="B2"/>
    </sheetView>
  </sheetViews>
  <sheetFormatPr defaultRowHeight="15" x14ac:dyDescent="0.25"/>
  <cols>
    <col min="1" max="1" width="14.85546875" customWidth="1"/>
    <col min="2" max="2" width="64.42578125" customWidth="1"/>
  </cols>
  <sheetData>
    <row r="1" spans="1:2" x14ac:dyDescent="0.35">
      <c r="A1" t="s">
        <v>334</v>
      </c>
      <c r="B1" t="s">
        <v>335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1:E11"/>
  <sheetViews>
    <sheetView workbookViewId="0">
      <selection activeCell="E4" sqref="E4"/>
    </sheetView>
  </sheetViews>
  <sheetFormatPr defaultRowHeight="15" x14ac:dyDescent="0.25"/>
  <cols>
    <col min="5" max="5" width="21.42578125" customWidth="1"/>
  </cols>
  <sheetData>
    <row r="1" spans="1:5" x14ac:dyDescent="0.35">
      <c r="A1" t="s">
        <v>12</v>
      </c>
      <c r="E1" t="s">
        <v>205</v>
      </c>
    </row>
    <row r="2" spans="1:5" x14ac:dyDescent="0.35">
      <c r="A2" t="s">
        <v>13</v>
      </c>
      <c r="E2" t="s">
        <v>206</v>
      </c>
    </row>
    <row r="3" spans="1:5" x14ac:dyDescent="0.35">
      <c r="A3" t="s">
        <v>14</v>
      </c>
      <c r="E3" t="s">
        <v>207</v>
      </c>
    </row>
    <row r="4" spans="1:5" x14ac:dyDescent="0.35">
      <c r="A4" t="s">
        <v>15</v>
      </c>
      <c r="E4" t="s">
        <v>412</v>
      </c>
    </row>
    <row r="5" spans="1:5" x14ac:dyDescent="0.35">
      <c r="A5" t="s">
        <v>16</v>
      </c>
    </row>
    <row r="6" spans="1:5" x14ac:dyDescent="0.35">
      <c r="A6" t="s">
        <v>49</v>
      </c>
    </row>
    <row r="7" spans="1:5" x14ac:dyDescent="0.35">
      <c r="A7" t="s">
        <v>67</v>
      </c>
    </row>
    <row r="8" spans="1:5" x14ac:dyDescent="0.35">
      <c r="A8" t="s">
        <v>88</v>
      </c>
    </row>
    <row r="9" spans="1:5" x14ac:dyDescent="0.35">
      <c r="A9" t="s">
        <v>90</v>
      </c>
    </row>
    <row r="10" spans="1:5" x14ac:dyDescent="0.35">
      <c r="A10" t="s">
        <v>93</v>
      </c>
    </row>
    <row r="11" spans="1:5" x14ac:dyDescent="0.35">
      <c r="A11" t="s">
        <v>94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4</vt:i4>
      </vt:variant>
    </vt:vector>
  </HeadingPairs>
  <TitlesOfParts>
    <vt:vector size="10" baseType="lpstr">
      <vt:lpstr>smart toolbox onderdelen</vt:lpstr>
      <vt:lpstr>Beschrijving onderdelen</vt:lpstr>
      <vt:lpstr>roadmap draaitabel</vt:lpstr>
      <vt:lpstr>toelichting ACPaaS</vt:lpstr>
      <vt:lpstr>termen</vt:lpstr>
      <vt:lpstr>Lijsten</vt:lpstr>
      <vt:lpstr>'Beschrijving onderdelen'!Afdrukbereik</vt:lpstr>
      <vt:lpstr>'Beschrijving onderdelen'!Afdruktitels</vt:lpstr>
      <vt:lpstr>Soort</vt:lpstr>
      <vt:lpstr>status</vt:lpstr>
    </vt:vector>
  </TitlesOfParts>
  <Company>Gemeente Eindhoven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Ankie Jansen</dc:creator>
  <cp:lastModifiedBy>Conijn, Anna</cp:lastModifiedBy>
  <cp:lastPrinted>2018-12-14T14:53:48Z</cp:lastPrinted>
  <dcterms:created xsi:type="dcterms:W3CDTF">2018-11-19T07:20:09Z</dcterms:created>
  <dcterms:modified xsi:type="dcterms:W3CDTF">2019-01-31T10:13:15Z</dcterms:modified>
</cp:coreProperties>
</file>